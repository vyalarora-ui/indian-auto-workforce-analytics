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vyalarora/Downloads/"/>
    </mc:Choice>
  </mc:AlternateContent>
  <xr:revisionPtr revIDLastSave="0" documentId="8_{3E910FF1-72D7-C84A-BD3C-BE4F3A4A7179}" xr6:coauthVersionLast="47" xr6:coauthVersionMax="47" xr10:uidLastSave="{00000000-0000-0000-0000-000000000000}"/>
  <bookViews>
    <workbookView xWindow="0" yWindow="600" windowWidth="16380" windowHeight="8200" tabRatio="500" activeTab="1" xr2:uid="{00000000-000D-0000-FFFF-FFFF00000000}"/>
  </bookViews>
  <sheets>
    <sheet name="README" sheetId="1" r:id="rId1"/>
    <sheet name="Dashboard" sheetId="2" r:id="rId2"/>
    <sheet name="Revenue Trend" sheetId="3" r:id="rId3"/>
    <sheet name="Employee Cost % Trend" sheetId="4" r:id="rId4"/>
    <sheet name="Net Profit Trend" sheetId="5" r:id="rId5"/>
    <sheet name="Workforce Detail" sheetId="6" r:id="rId6"/>
    <sheet name="Notes &amp; Flag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3" i="6" l="1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O23" i="2"/>
  <c r="P23" i="2" s="1"/>
  <c r="K23" i="2"/>
  <c r="J23" i="2"/>
  <c r="G23" i="2"/>
  <c r="F23" i="2"/>
  <c r="O22" i="2"/>
  <c r="P22" i="2" s="1"/>
  <c r="K22" i="2"/>
  <c r="J22" i="2"/>
  <c r="G22" i="2"/>
  <c r="F22" i="2"/>
  <c r="O21" i="2"/>
  <c r="P21" i="2" s="1"/>
  <c r="K21" i="2"/>
  <c r="J21" i="2"/>
  <c r="G21" i="2"/>
  <c r="F21" i="2"/>
  <c r="O20" i="2"/>
  <c r="P20" i="2" s="1"/>
  <c r="K20" i="2"/>
  <c r="J20" i="2"/>
  <c r="G20" i="2"/>
  <c r="F20" i="2"/>
  <c r="O19" i="2"/>
  <c r="P19" i="2" s="1"/>
  <c r="K19" i="2"/>
  <c r="J19" i="2"/>
  <c r="G19" i="2"/>
  <c r="F19" i="2"/>
  <c r="O18" i="2"/>
  <c r="P18" i="2" s="1"/>
  <c r="K18" i="2"/>
  <c r="J18" i="2"/>
  <c r="G18" i="2"/>
  <c r="F18" i="2"/>
  <c r="O17" i="2"/>
  <c r="P17" i="2" s="1"/>
  <c r="K17" i="2"/>
  <c r="J17" i="2"/>
  <c r="G17" i="2"/>
  <c r="F17" i="2"/>
  <c r="O16" i="2"/>
  <c r="P16" i="2" s="1"/>
  <c r="K16" i="2"/>
  <c r="J16" i="2"/>
  <c r="G16" i="2"/>
  <c r="F16" i="2"/>
  <c r="O15" i="2"/>
  <c r="P15" i="2" s="1"/>
  <c r="K15" i="2"/>
  <c r="J15" i="2"/>
  <c r="G15" i="2"/>
  <c r="F15" i="2"/>
  <c r="O14" i="2"/>
  <c r="P14" i="2" s="1"/>
  <c r="K14" i="2"/>
  <c r="J14" i="2"/>
  <c r="G14" i="2"/>
  <c r="F14" i="2"/>
  <c r="O13" i="2"/>
  <c r="P13" i="2" s="1"/>
  <c r="K13" i="2"/>
  <c r="J13" i="2"/>
  <c r="G13" i="2"/>
  <c r="F13" i="2"/>
  <c r="O12" i="2"/>
  <c r="P12" i="2" s="1"/>
  <c r="K12" i="2"/>
  <c r="J12" i="2"/>
  <c r="G12" i="2"/>
  <c r="F12" i="2"/>
  <c r="O11" i="2"/>
  <c r="P11" i="2" s="1"/>
  <c r="K11" i="2"/>
  <c r="J11" i="2"/>
  <c r="G11" i="2"/>
  <c r="F11" i="2"/>
  <c r="O10" i="2"/>
  <c r="P10" i="2" s="1"/>
  <c r="K10" i="2"/>
  <c r="J10" i="2"/>
  <c r="G10" i="2"/>
  <c r="F10" i="2"/>
  <c r="O9" i="2"/>
  <c r="P9" i="2" s="1"/>
  <c r="K9" i="2"/>
  <c r="J9" i="2"/>
  <c r="G9" i="2"/>
  <c r="F9" i="2"/>
  <c r="O8" i="2"/>
  <c r="P8" i="2" s="1"/>
  <c r="K8" i="2"/>
  <c r="J8" i="2"/>
  <c r="G8" i="2"/>
  <c r="F8" i="2"/>
  <c r="O7" i="2"/>
  <c r="P7" i="2" s="1"/>
  <c r="K7" i="2"/>
  <c r="J7" i="2"/>
  <c r="G7" i="2"/>
  <c r="F7" i="2"/>
  <c r="O6" i="2"/>
  <c r="P6" i="2" s="1"/>
  <c r="K6" i="2"/>
  <c r="J6" i="2"/>
  <c r="G6" i="2"/>
  <c r="F6" i="2"/>
  <c r="O5" i="2"/>
  <c r="P5" i="2" s="1"/>
  <c r="K5" i="2"/>
  <c r="J5" i="2"/>
  <c r="G5" i="2"/>
  <c r="F5" i="2"/>
  <c r="O4" i="2"/>
  <c r="P4" i="2" s="1"/>
  <c r="K4" i="2"/>
  <c r="J4" i="2"/>
  <c r="G4" i="2"/>
  <c r="F4" i="2"/>
</calcChain>
</file>

<file path=xl/sharedStrings.xml><?xml version="1.0" encoding="utf-8"?>
<sst xmlns="http://schemas.openxmlformats.org/spreadsheetml/2006/main" count="282" uniqueCount="149">
  <si>
    <t>Top 20 Auto-Component Companies — Comparative Analysis (Draft v1)</t>
  </si>
  <si>
    <t>Purpose</t>
  </si>
  <si>
    <t>Comparative analysis of India's top 20 listed auto-component companies on Revenue CAGR, Profit CAGR, Employee Cost, and Revenue per Employee — for EY PAS internship project (auto sector talent / EV transition).</t>
  </si>
  <si>
    <t>Status</t>
  </si>
  <si>
    <t>FIRST DRAFT — compiled from a long research session across screener.in, company BRSRs and Annual Reports. Please spot-check figures against original screenshots/sources before finalizing, especially the historical trend sheets.</t>
  </si>
  <si>
    <t>How this workbook is organized</t>
  </si>
  <si>
    <t>Dashboard</t>
  </si>
  <si>
    <t>The main sheet. One row per company: Revenue CAGR (5yr), Profit CAGR (5yr), Employee Cost %, Total Workforce, Revenue per Employee, plus flags.</t>
  </si>
  <si>
    <t>Revenue Trend</t>
  </si>
  <si>
    <t>Revenue for all 20 companies, FY2021-FY2026 (Rs. Crore).</t>
  </si>
  <si>
    <t>Employee Cost % Trend</t>
  </si>
  <si>
    <t>Employee Cost as % of Expenses, FY2021-FY2026, for all 20 companies.</t>
  </si>
  <si>
    <t>Net Profit Trend</t>
  </si>
  <si>
    <t>Net Profit (PAT) for all 20 companies, FY2021-FY2026 (Rs. Crore).</t>
  </si>
  <si>
    <t>Workforce Detail</t>
  </si>
  <si>
    <t>Employees vs Workers breakdown, source, and financial year of the headcount data for each company.</t>
  </si>
  <si>
    <t>Notes &amp; Flags</t>
  </si>
  <si>
    <t>Important caveats per company — read this before presenting any single number.</t>
  </si>
  <si>
    <t>Key methodology notes</t>
  </si>
  <si>
    <t>5-year window</t>
  </si>
  <si>
    <t>CAGR is calculated FY2021 -&gt; FY2026 for every company, so comparisons are apples-to-apples even though raw data collection started at different years for some companies.</t>
  </si>
  <si>
    <t>Dec year-end companies</t>
  </si>
  <si>
    <t>Mahindra CIE and Schaeffler India report on a December year-end (not March). Their 'FY2021' and 'FY2026' columns use Dec-2020 and Dec-2025 figures respectively (the closest comparable periods) — flagged in Notes &amp; Flags.</t>
  </si>
  <si>
    <t>Standalone vs Consolidated</t>
  </si>
  <si>
    <t>Most companies are Consolidated figures. Amara Raja, Schaeffler India, Rolex Rings and Sundaram Clayton are Standalone. Flagged per company — worth deciding whether to normalize before presenting.</t>
  </si>
  <si>
    <t>Employee Cost %</t>
  </si>
  <si>
    <t>This is Employee Cost as a % of TOTAL EXPENSES (as shown on screener.in), NOT as a % of Revenue. To get employee cost in Rs Crore: Employee Cost % x Total Expenses. Formulas for this are built into the Dashboard.</t>
  </si>
  <si>
    <t>Total Workforce</t>
  </si>
  <si>
    <t>Employees (staff) + Workers (shop-floor), taken from each company's own BRSR/Annual Report. This is the consistent methodology used since the Padmini VNA project — always use combined headcount, not staff-only.</t>
  </si>
  <si>
    <t>Sundaram Clayton</t>
  </si>
  <si>
    <t>Went through a demerger between FY2018 and FY2021 (revenue fell from ~Rs 17,900 Cr to ~Rs 1,100 Cr) — this is NOT organic decline. Only post-demerger years (FY2021 onward) are used for its CAGR and trends.</t>
  </si>
  <si>
    <t>Colour key (financial model convention)</t>
  </si>
  <si>
    <t>Blue text</t>
  </si>
  <si>
    <t>Hardcoded input — a number typed in from a source (screener.in, BRSR, Annual Report).</t>
  </si>
  <si>
    <t>Black text</t>
  </si>
  <si>
    <t>Formula — calculated automatically from other cells. Don't overtype these.</t>
  </si>
  <si>
    <t>Green text</t>
  </si>
  <si>
    <t>Link pulling from another sheet in this workbook.</t>
  </si>
  <si>
    <t>Yellow highlight</t>
  </si>
  <si>
    <t>Flag — needs your attention (unusual figure, estimate, or unconfirmed data).</t>
  </si>
  <si>
    <t>Dashboard — Top 20 Auto-Component Companies (5-Year Window: FY2021 to FY2026)</t>
  </si>
  <si>
    <t>#</t>
  </si>
  <si>
    <t>Company</t>
  </si>
  <si>
    <t>Basis</t>
  </si>
  <si>
    <t>Revenue
FY2021 (Cr)</t>
  </si>
  <si>
    <t>Revenue
FY2026 (Cr)</t>
  </si>
  <si>
    <t>Revenue
CAGR 5yr</t>
  </si>
  <si>
    <t>Revenue
% Chg (Total)</t>
  </si>
  <si>
    <t>Net Profit
FY2021 (Cr)</t>
  </si>
  <si>
    <t>Net Profit
FY2026 (Cr)</t>
  </si>
  <si>
    <t>Profit
CAGR 5yr</t>
  </si>
  <si>
    <t>Profit
% Chg (Total)</t>
  </si>
  <si>
    <t>Employee
Cost % FY26</t>
  </si>
  <si>
    <t>Employees</t>
  </si>
  <si>
    <t>Workers</t>
  </si>
  <si>
    <t>Total
Workforce</t>
  </si>
  <si>
    <t>Revenue/Employee
FY26 (Rs Lakh)</t>
  </si>
  <si>
    <t>Samvardhana Motherson Intl.</t>
  </si>
  <si>
    <t>Consolidated</t>
  </si>
  <si>
    <t>Bosch Ltd. (Bosch India)</t>
  </si>
  <si>
    <t>Bharat Forge Ltd.</t>
  </si>
  <si>
    <t>Uno Minda (Minda Industries)</t>
  </si>
  <si>
    <t>Exide Industries Ltd.</t>
  </si>
  <si>
    <t>Amara Raja Energy &amp; Mobility</t>
  </si>
  <si>
    <t>Standalone</t>
  </si>
  <si>
    <t>Mahindra CIE Automotive</t>
  </si>
  <si>
    <t>Endurance Technologies Ltd.</t>
  </si>
  <si>
    <t>Schaeffler India Ltd.</t>
  </si>
  <si>
    <t>Sundram Fasteners Ltd.</t>
  </si>
  <si>
    <t>Tube Investments of India</t>
  </si>
  <si>
    <t>Motherson Sumi Wiring India</t>
  </si>
  <si>
    <t>Subros Ltd.</t>
  </si>
  <si>
    <t>Lumax Industries Ltd.</t>
  </si>
  <si>
    <t>Suprajit Engineering Ltd.</t>
  </si>
  <si>
    <t>Pricol Ltd.</t>
  </si>
  <si>
    <t>Varroc Engineering Ltd.</t>
  </si>
  <si>
    <t>Fiem Industries Ltd.</t>
  </si>
  <si>
    <t>Rolex Rings Ltd.</t>
  </si>
  <si>
    <t>Sundaram Clayton Ltd.</t>
  </si>
  <si>
    <t>Notes:</t>
  </si>
  <si>
    <t>- Employee Cost % shown is % of Total Expenses (as reported by screener.in), not % of Revenue. To convert to Rs Cr: Employee Cost % x Total Expenses for that year.</t>
  </si>
  <si>
    <t>- 'CAGR 5yr' is the annualised growth rate; '% Chg (Total)' is the simple total change from FY2021 to FY2026 (not annualised) - green = growth, red = decline.</t>
  </si>
  <si>
    <t>- Revenue/Employee uses Total Workforce (Employees+Workers). Where workforce is unconfirmed or likely mismatched, this ratio is not meaningful — see Notes &amp; Flags sheet.</t>
  </si>
  <si>
    <t>- See 'Notes &amp; Flags' sheet for full detail on every flagged company before using these numbers in the final report.</t>
  </si>
  <si>
    <t>Revenue Trend — FY2021 to FY2026</t>
  </si>
  <si>
    <t>FY2021</t>
  </si>
  <si>
    <t>FY2026</t>
  </si>
  <si>
    <t>% Change
(FY21→FY26)</t>
  </si>
  <si>
    <t>Only FY2021 and FY2026 (the 5-year CAGR window used on the Dashboard) are filled in reliably. FY2022-FY2025 columns are left blank for you to fill in from the original screener.in screenshots so the Power BI trend line has the full 6-year run - the raw numbers are in the chat history/screenshots.</t>
  </si>
  <si>
    <t>Employee Cost % Trend — FY2021 to FY2026</t>
  </si>
  <si>
    <t>Change
(pp)</t>
  </si>
  <si>
    <t>'Change (pp)' = percentage-point difference (e.g. 25% -&gt; 30% shows as +5.0pp), not a relative % change, since these are already percentages.</t>
  </si>
  <si>
    <t>Net Profit Trend — FY2021 to FY2026</t>
  </si>
  <si>
    <t>Workforce Detail — Employees vs Workers, by Company</t>
  </si>
  <si>
    <t>Employees
(Staff)</t>
  </si>
  <si>
    <t>Workers
(Shop-floor)</t>
  </si>
  <si>
    <t>Data Year</t>
  </si>
  <si>
    <t>FY2024-25</t>
  </si>
  <si>
    <t>n/a</t>
  </si>
  <si>
    <t>FY2023-24 (one year behind others)</t>
  </si>
  <si>
    <t>FY2022-23 (older; site quoted 5,135 staff-only figure — do not use)</t>
  </si>
  <si>
    <t>FY2025 (Dec year-end; Dec-2020/Dec-2025 used for FY21/FY26)</t>
  </si>
  <si>
    <t>FY2023-24; excludes outsourced/off-roll staff (company footnote)</t>
  </si>
  <si>
    <t>FY2025 (Dec year-end); Workforce (3,605) is MD's AGM figure, likely staff-only</t>
  </si>
  <si>
    <t>FY2023-24</t>
  </si>
  <si>
    <t>FY2024-25 (Mar-2016 sales figure was a data glitch, excluded)</t>
  </si>
  <si>
    <t>FY2024-25 (only listed since FY2021; company uses 'Employees' vs 'Associates')</t>
  </si>
  <si>
    <t>FY2024-25; company notes seasonal/temp staff not fully captured</t>
  </si>
  <si>
    <t>FY2024-25; median worker wage ~Rs 16k/mo vs employee ~Rs 54k/mo (from filing)</t>
  </si>
  <si>
    <t>FY2024-25; heavy losses FY21-23 (~Rs -1,107 Cr low) post lighting-business divestment, since recovered</t>
  </si>
  <si>
    <t>FY2023-24; permanent employee attrition was 32% that year — flagged</t>
  </si>
  <si>
    <t>FY2024-25; 0% female representation across entire workforce — flagged</t>
  </si>
  <si>
    <t>FY2024-25; company demerged FY18-21, pre-2021 data excluded as not comparable</t>
  </si>
  <si>
    <t>Notes &amp; Flags — Read Before Presenting Any Number</t>
  </si>
  <si>
    <t>Flag / Caveat</t>
  </si>
  <si>
    <t>Recommended Action</t>
  </si>
  <si>
    <t>Bosch Ltd.</t>
  </si>
  <si>
    <t>Total headcount confirmed at 38,655. No separate employees-vs-workers split available for this figure, so it's used as the single Total Workforce number.</t>
  </si>
  <si>
    <t>Revenue/Employee ratio for Bosch will read low relative to peers since it's spread across a large total headcount with no split - fine to use, just note the lack of split if asked.</t>
  </si>
  <si>
    <t>CORRECTED: Total workforce updated to 9,493 (2,948 employees + 6,545 workers), from the company's actual BRSR (Integrated Annual Report 2024-25). The earlier figure of 4,354 was from a summary 'Human Capital' box and was staff-only, missing ~6,500 shop-floor workers.</t>
  </si>
  <si>
    <t>No further action needed - 9,493 is the confirmed, complete figure. Also note: permanent employee attrition FY24-25 was a healthy 9.17% (much better than Fiem's 32%).</t>
  </si>
  <si>
    <t>Uno Minda</t>
  </si>
  <si>
    <t>Workforce data is from BRSR dated 31 March 2024 — one year older than most other companies (which are FY2024-25).</t>
  </si>
  <si>
    <t>Fine to use, just label the year clearly in the final report.</t>
  </si>
  <si>
    <t>An earlier online source (GlobalData) gave 5,135 employees, which was confirmed to be staff-only and excludes ~14,700 shop-floor workers. Correct total workforce (18,960) is from the FY2022-23 BRSR - two years older than most peers.</t>
  </si>
  <si>
    <t>Use 18,960, not 5,135. Note the older data year if a more recent BRSR becomes available.</t>
  </si>
  <si>
    <t>Financial figures (Sales, Employee Cost %, Net Profit) are Standalone, not Consolidated like most other companies in this set.</t>
  </si>
  <si>
    <t>Decide whether to normalize all companies to one basis before final comparison, or footnote the mix.</t>
  </si>
  <si>
    <t>Reports on a December year-end (calendar year), not the March year-end most Indian companies use. 'FY2021' and 'FY2026' columns use Dec-2020 and Dec-2025 figures as the closest comparable periods.</t>
  </si>
  <si>
    <t>Label clearly as Dec-ending in the final report so it isn't misread as March data.</t>
  </si>
  <si>
    <t>Company's own BRSR states 'Outsourced and off-roll personnel have not been considered' in the headcount - so the true on-site workforce is likely larger than 15,140.</t>
  </si>
  <si>
    <t>Note as a likely undercount; consistent with several other companies' caveats about contract labour.</t>
  </si>
  <si>
    <t>Company's official annual-report PDF returned a server error repeatedly. Workforce figure (3,605) comes from an AI-search summary of the MD's AGM statement - likely staff-only, no confirmed separate 'workers' count. Also Standalone basis and Dec year-end.</t>
  </si>
  <si>
    <t>Treat 3,605 as an estimate/staff-only figure. Try the annual report PDF again later, or pull from EY's databases.</t>
  </si>
  <si>
    <t>Company explicitly does not use the word 'workers' - it labels shop-floor staff 'Associates'. Only listed/reporting since around FY2021, so no earlier history exists.</t>
  </si>
  <si>
    <t>Same underlying concept as employees+workers elsewhere; total workforce (53,632) is valid to use as-is.</t>
  </si>
  <si>
    <t>BRSR shows 0 'other than permanent' staff, but the company's own footnote says they DO use seasonal/temporary staff depending on production volumes.</t>
  </si>
  <si>
    <t>Treat total workforce (2,188) as a single point-in-time snapshot, likely understating peak-season headcount.</t>
  </si>
  <si>
    <t>Revenue fell sharply from ~Rs 12,036 Cr (FY19) to ~Rs 4,374 Cr (FY21) due to the sale of its lighting business (not organic decline). Company posted heavy losses FY21-23 (as low as -Rs 1,107 Cr) before recovering.</t>
  </si>
  <si>
    <t>The FY2021-FY2026 window used here is post-divestment and comparable; do not extend the trend further back without noting the divestment.</t>
  </si>
  <si>
    <t>Permanent employee attrition was 32% in FY2023-24 - unusually high versus every other company in this set.</t>
  </si>
  <si>
    <t>Worth raising directly with Devanshu as a genuine retention/talent concern - good example for the People Advisory angle.</t>
  </si>
  <si>
    <t>0% female representation across the entire workforce (employees and workers) - the only company in the set with this profile. Figures are Standalone.</t>
  </si>
  <si>
    <t>Worth flagging as a notable diversity gap if the report has a people/DEI angle.</t>
  </si>
  <si>
    <t>Company underwent a demerger between FY2018 and FY2021 - revenue fell from ~Rs 17,900 Cr to ~Rs 1,100 Cr, which is a structural break, not decline. Employee Cost % has also risen sharply (14.6% to 20.1%) post-demerger.</t>
  </si>
  <si>
    <t>Only FY2021 onward is used here (post-demerger, comparable entity). Never quote a CAGR spanning the demerger.</t>
  </si>
  <si>
    <t>All companies - general</t>
  </si>
  <si>
    <t>This workbook was compiled from a long chat-based research session (screenshots read one at a time). Small transcription errors are possible.</t>
  </si>
  <si>
    <t>Before this goes into the final Power BI dashboard or report to Devanshu, spot-check each company's Dashboard row against its original screener.in screenshot.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</si>
</sst>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%;\-0.0%;0.0%"/>
    <numFmt numFmtId="165" formatCode="0.0%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9"/>
      <name val="Arial"/>
      <family val="2"/>
    </font>
    <font>
      <i/>
      <sz val="9"/>
      <color rgb="FF7F7F7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CE8"/>
      </patternFill>
    </fill>
    <fill>
      <patternFill patternType="solid">
        <fgColor rgb="FFFFF2CC"/>
        <bgColor rgb="FFFFFCE8"/>
      </patternFill>
    </fill>
    <fill>
      <patternFill patternType="solid">
        <fgColor rgb="FFFFFCE8"/>
        <bgColor rgb="FFFFFFFF"/>
      </patternFill>
    </fill>
    <fill>
      <patternFill patternType="solid">
        <fgColor rgb="FF1F3864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4" fillId="0" borderId="0" xfId="0" applyFont="1"/>
    <xf numFmtId="0" fontId="2" fillId="3" borderId="1" xfId="0" applyFont="1" applyFill="1" applyBorder="1"/>
    <xf numFmtId="0" fontId="7" fillId="3" borderId="1" xfId="0" applyFont="1" applyFill="1" applyBorder="1"/>
    <xf numFmtId="0" fontId="7" fillId="3" borderId="1" xfId="0" applyFont="1" applyFill="1" applyBorder="1" applyAlignment="1">
      <alignment horizontal="right"/>
    </xf>
    <xf numFmtId="164" fontId="6" fillId="3" borderId="1" xfId="0" applyNumberFormat="1" applyFont="1" applyFill="1" applyBorder="1"/>
    <xf numFmtId="164" fontId="6" fillId="3" borderId="1" xfId="0" applyNumberFormat="1" applyFont="1" applyFill="1" applyBorder="1" applyAlignment="1">
      <alignment horizontal="right"/>
    </xf>
    <xf numFmtId="165" fontId="7" fillId="3" borderId="1" xfId="0" applyNumberFormat="1" applyFont="1" applyFill="1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3" fontId="6" fillId="3" borderId="1" xfId="0" applyNumberFormat="1" applyFont="1" applyFill="1" applyBorder="1" applyAlignment="1">
      <alignment horizontal="right"/>
    </xf>
    <xf numFmtId="0" fontId="2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164" fontId="6" fillId="0" borderId="1" xfId="0" applyNumberFormat="1" applyFont="1" applyBorder="1"/>
    <xf numFmtId="164" fontId="6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8" fillId="0" borderId="0" xfId="0" applyFont="1"/>
    <xf numFmtId="3" fontId="7" fillId="3" borderId="1" xfId="0" applyNumberFormat="1" applyFont="1" applyFill="1" applyBorder="1"/>
    <xf numFmtId="3" fontId="7" fillId="0" borderId="1" xfId="0" applyNumberFormat="1" applyFont="1" applyBorder="1"/>
    <xf numFmtId="165" fontId="7" fillId="3" borderId="1" xfId="0" applyNumberFormat="1" applyFont="1" applyFill="1" applyBorder="1"/>
    <xf numFmtId="165" fontId="7" fillId="0" borderId="1" xfId="0" applyNumberFormat="1" applyFont="1" applyBorder="1"/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6" fillId="3" borderId="2" xfId="0" applyFont="1" applyFill="1" applyBorder="1"/>
    <xf numFmtId="0" fontId="6" fillId="0" borderId="2" xfId="0" applyFont="1" applyBorder="1"/>
    <xf numFmtId="0" fontId="7" fillId="3" borderId="3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6" fillId="0" borderId="7" xfId="0" applyFont="1" applyBorder="1"/>
    <xf numFmtId="0" fontId="2" fillId="0" borderId="8" xfId="0" applyFont="1" applyBorder="1"/>
    <xf numFmtId="0" fontId="7" fillId="0" borderId="8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7" fillId="0" borderId="9" xfId="0" applyFont="1" applyBorder="1" applyAlignment="1">
      <alignment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7" fillId="0" borderId="8" xfId="0" applyFont="1" applyBorder="1"/>
    <xf numFmtId="164" fontId="6" fillId="0" borderId="8" xfId="0" applyNumberFormat="1" applyFont="1" applyBorder="1"/>
    <xf numFmtId="164" fontId="6" fillId="0" borderId="8" xfId="0" applyNumberFormat="1" applyFont="1" applyBorder="1" applyAlignment="1">
      <alignment horizontal="right"/>
    </xf>
    <xf numFmtId="165" fontId="7" fillId="0" borderId="8" xfId="0" applyNumberFormat="1" applyFont="1" applyBorder="1" applyAlignment="1">
      <alignment horizontal="right"/>
    </xf>
    <xf numFmtId="3" fontId="6" fillId="0" borderId="8" xfId="0" applyNumberFormat="1" applyFont="1" applyBorder="1" applyAlignment="1">
      <alignment horizontal="right"/>
    </xf>
    <xf numFmtId="164" fontId="6" fillId="3" borderId="3" xfId="0" applyNumberFormat="1" applyFont="1" applyFill="1" applyBorder="1"/>
    <xf numFmtId="164" fontId="6" fillId="0" borderId="3" xfId="0" applyNumberFormat="1" applyFont="1" applyBorder="1"/>
    <xf numFmtId="3" fontId="7" fillId="0" borderId="8" xfId="0" applyNumberFormat="1" applyFont="1" applyBorder="1"/>
    <xf numFmtId="164" fontId="6" fillId="0" borderId="9" xfId="0" applyNumberFormat="1" applyFont="1" applyBorder="1"/>
    <xf numFmtId="165" fontId="7" fillId="0" borderId="8" xfId="0" applyNumberFormat="1" applyFont="1" applyBorder="1"/>
    <xf numFmtId="0" fontId="2" fillId="4" borderId="2" xfId="0" applyFont="1" applyFill="1" applyBorder="1"/>
    <xf numFmtId="0" fontId="2" fillId="5" borderId="2" xfId="0" applyFont="1" applyFill="1" applyBorder="1"/>
    <xf numFmtId="0" fontId="3" fillId="4" borderId="3" xfId="0" applyFont="1" applyFill="1" applyBorder="1" applyAlignment="1">
      <alignment vertical="top" wrapText="1"/>
    </xf>
    <xf numFmtId="0" fontId="3" fillId="5" borderId="3" xfId="0" applyFont="1" applyFill="1" applyBorder="1" applyAlignment="1">
      <alignment vertical="top" wrapText="1"/>
    </xf>
    <xf numFmtId="0" fontId="2" fillId="4" borderId="7" xfId="0" applyFont="1" applyFill="1" applyBorder="1"/>
    <xf numFmtId="0" fontId="3" fillId="4" borderId="8" xfId="0" applyFont="1" applyFill="1" applyBorder="1" applyAlignment="1">
      <alignment vertical="top" wrapText="1"/>
    </xf>
    <xf numFmtId="0" fontId="3" fillId="4" borderId="9" xfId="0" applyFont="1" applyFill="1" applyBorder="1" applyAlignment="1">
      <alignment vertical="top" wrapText="1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77">
    <dxf>
      <font>
        <sz val="10"/>
        <color rgb="FF006100"/>
        <name val="Arial"/>
        <charset val="1"/>
      </font>
    </dxf>
    <dxf>
      <font>
        <sz val="10"/>
        <color rgb="FFC00000"/>
        <name val="Arial"/>
        <charset val="1"/>
      </font>
    </dxf>
    <dxf>
      <font>
        <sz val="10"/>
        <color rgb="FF006100"/>
        <name val="Arial"/>
        <charset val="1"/>
      </font>
    </dxf>
    <dxf>
      <font>
        <sz val="10"/>
        <color rgb="FFC00000"/>
        <name val="Arial"/>
        <charset val="1"/>
      </font>
    </dxf>
    <dxf>
      <font>
        <sz val="10"/>
        <color rgb="FF006100"/>
        <name val="Arial"/>
        <charset val="1"/>
      </font>
    </dxf>
    <dxf>
      <font>
        <sz val="10"/>
        <color rgb="FFC00000"/>
        <name val="Arial"/>
        <charset val="1"/>
      </font>
    </dxf>
    <dxf>
      <font>
        <sz val="10"/>
        <color rgb="FF006100"/>
        <name val="Arial"/>
        <charset val="1"/>
      </font>
    </dxf>
    <dxf>
      <font>
        <sz val="10"/>
        <color rgb="FFC00000"/>
        <name val="Arial"/>
        <charset val="1"/>
      </font>
    </dxf>
    <dxf>
      <font>
        <sz val="10"/>
        <color rgb="FF006100"/>
        <name val="Arial"/>
        <charset val="1"/>
      </font>
    </dxf>
    <dxf>
      <font>
        <sz val="10"/>
        <color rgb="FFC00000"/>
        <name val="Arial"/>
        <charset val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CE8"/>
          <bgColor rgb="FFFFF2CC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CE8"/>
          <bgColor rgb="FFFFF2CC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FFFCE8"/>
          <bgColor rgb="FFFFF2CC"/>
        </patternFill>
      </fill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\+0.0%;\-0.0%;0.0%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\+0.0%;\-0.0%;0.0%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5" formatCode="0.0%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5" formatCode="0.0%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\+0.0%;\-0.0%;0.0%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5" formatCode="0.0%"/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\+0.0%;\-0.0%;0.0%"/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\+0.0%;\-0.0%;0.0%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\+0.0%;\-0.0%;0.0%"/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\+0.0%;\-0.0%;0.0%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CE8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26C074-2CFE-3F46-AD1A-19DBB9EF308A}" name="Dashboard_Data" displayName="Dashboard_Data" ref="A3:P23" totalsRowShown="0" headerRowDxfId="76" headerRowBorderDxfId="75" tableBorderDxfId="74" totalsRowBorderDxfId="73">
  <autoFilter ref="A3:P23" xr:uid="{E726C074-2CFE-3F46-AD1A-19DBB9EF308A}"/>
  <tableColumns count="16">
    <tableColumn id="1" xr3:uid="{9CFCFD53-2E6E-8E41-958F-E841081BE731}" name="#" dataDxfId="72"/>
    <tableColumn id="2" xr3:uid="{D34A67D5-25EE-6B4A-95FA-024E3FF7A9DD}" name="Company" dataDxfId="71"/>
    <tableColumn id="3" xr3:uid="{AEDAF014-89DC-BE49-8DDC-93C6A2CCDCA8}" name="Basis" dataDxfId="70"/>
    <tableColumn id="4" xr3:uid="{BDB09679-2EF3-5D46-8962-C92C2172DC6F}" name="Revenue_x000a_FY2021 (Cr)" dataDxfId="69"/>
    <tableColumn id="5" xr3:uid="{8D71838D-E4B9-694A-B87A-630BBF8D8450}" name="Revenue_x000a_FY2026 (Cr)" dataDxfId="68"/>
    <tableColumn id="6" xr3:uid="{C572E7ED-CB88-444C-91F8-679CAA9DC409}" name="Revenue_x000a_CAGR 5yr" dataDxfId="67">
      <calculatedColumnFormula>IFERROR(POWER(E4/D4,1/5)-1,"n/a")</calculatedColumnFormula>
    </tableColumn>
    <tableColumn id="7" xr3:uid="{0F516D7B-29D7-B44F-B7CA-92CEBB88DAF8}" name="Revenue_x000a_% Chg (Total)" dataDxfId="66">
      <calculatedColumnFormula>IFERROR((E4-D4)/D4,"n/a")</calculatedColumnFormula>
    </tableColumn>
    <tableColumn id="8" xr3:uid="{32DEA09D-35EC-DC45-BF45-5600661ABEDD}" name="Net Profit_x000a_FY2021 (Cr)" dataDxfId="65"/>
    <tableColumn id="9" xr3:uid="{56239C4E-D8F2-8048-87C8-60F9FF1C55AD}" name="Net Profit_x000a_FY2026 (Cr)" dataDxfId="64"/>
    <tableColumn id="10" xr3:uid="{51DB609C-5E6A-9044-B90D-606089131AC2}" name="Profit_x000a_CAGR 5yr" dataDxfId="63">
      <calculatedColumnFormula>IFERROR(IF(H4&lt;=0,"n/a (loss base yr)",POWER(I4/H4,1/5)-1),"n/a")</calculatedColumnFormula>
    </tableColumn>
    <tableColumn id="11" xr3:uid="{F76ACE4E-BC1A-304E-A3CD-073891B92893}" name="Profit_x000a_% Chg (Total)" dataDxfId="62">
      <calculatedColumnFormula>IFERROR(IF(H4&lt;=0,"n/a (loss base yr)",(I4-H4)/H4),"n/a")</calculatedColumnFormula>
    </tableColumn>
    <tableColumn id="12" xr3:uid="{C807533E-36E2-4C47-9A35-28A3513FB52A}" name="Employee_x000a_Cost % FY26" dataDxfId="61"/>
    <tableColumn id="13" xr3:uid="{3F19B99F-D298-264D-925E-73B5201159EA}" name="Employees" dataDxfId="60"/>
    <tableColumn id="14" xr3:uid="{4976B2A0-5445-DA40-9486-854CF0EAB129}" name="Workers" dataDxfId="59"/>
    <tableColumn id="15" xr3:uid="{BF25F85E-3AFF-2348-92A3-1CD639395F17}" name="Total_x000a_Workforce" dataDxfId="58">
      <calculatedColumnFormula>IFERROR(SUM(M4:N4),"n/a")</calculatedColumnFormula>
    </tableColumn>
    <tableColumn id="16" xr3:uid="{BD62A02D-929E-AC4E-8A73-DBAC36489B62}" name="Revenue/Employee_x000a_FY26 (Rs Lakh)" dataDxfId="57">
      <calculatedColumnFormula>IFERROR(E4*100/O4,"n/a")</calculatedColumnFormula>
    </tableColumn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C19888-D1A5-5E4C-A924-7A337BB0CADD}" name="RevenueTrend_Data" displayName="RevenueTrend_Data" ref="A3:E23" totalsRowShown="0" headerRowDxfId="56" dataDxfId="54" headerRowBorderDxfId="55" tableBorderDxfId="53" totalsRowBorderDxfId="52">
  <autoFilter ref="A3:E23" xr:uid="{32C19888-D1A5-5E4C-A924-7A337BB0CADD}"/>
  <tableColumns count="5">
    <tableColumn id="1" xr3:uid="{6EF1FAA0-FE29-3149-873F-C76560514112}" name="#" dataDxfId="51"/>
    <tableColumn id="2" xr3:uid="{4B9905A0-D1AD-AE44-AF30-FB649E0C0359}" name="Company" dataDxfId="50"/>
    <tableColumn id="3" xr3:uid="{18752DCB-1E4B-EA42-80D9-1A21EB72DDA5}" name="FY2021" dataDxfId="49"/>
    <tableColumn id="8" xr3:uid="{73276F74-2620-274E-9E5C-4AB094A91677}" name="FY2026" dataDxfId="48"/>
    <tableColumn id="9" xr3:uid="{B3AAD67C-6DE0-554A-B8AB-C10E18529C73}" name="% Change_x000a_(FY21→FY26)" dataDxfId="47">
      <calculatedColumnFormula>IFERROR((D4-C4)/C4,"n/a")</calculatedColumnFormula>
    </tableColumn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D4B513-54E8-DB45-B33D-2FE75BFA61E0}" name="EmployeeCostTrend_Data" displayName="EmployeeCostTrend_Data" ref="A3:E23" totalsRowShown="0" headerRowDxfId="46" dataDxfId="44" headerRowBorderDxfId="45" tableBorderDxfId="43" totalsRowBorderDxfId="42">
  <autoFilter ref="A3:E23" xr:uid="{34D4B513-54E8-DB45-B33D-2FE75BFA61E0}"/>
  <tableColumns count="5">
    <tableColumn id="1" xr3:uid="{6DC4BA07-B3BE-4543-B86D-6A039907EA45}" name="#" dataDxfId="41"/>
    <tableColumn id="2" xr3:uid="{C7694FDF-4E84-F447-9294-9091A577C93B}" name="Company" dataDxfId="40"/>
    <tableColumn id="3" xr3:uid="{421CC82B-515B-284F-B302-A05F688031D4}" name="FY2021" dataDxfId="39"/>
    <tableColumn id="8" xr3:uid="{04DF2D8C-0E5B-EE4C-9074-4BF496DAE278}" name="FY2026" dataDxfId="38"/>
    <tableColumn id="9" xr3:uid="{603A85F6-57B3-6547-B08A-5B73EDCDF7C3}" name="Change_x000a_(pp)" dataDxfId="37">
      <calculatedColumnFormula>IFERROR(D4-C4,"n/a")</calculatedColumnFormula>
    </tableColumn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A709D3-FADD-2A4C-B400-2CB83021D6C1}" name="NetProfitTrend_Data" displayName="NetProfitTrend_Data" ref="A3:E23" totalsRowShown="0" headerRowDxfId="36" dataDxfId="34" headerRowBorderDxfId="35" tableBorderDxfId="33" totalsRowBorderDxfId="32">
  <autoFilter ref="A3:E23" xr:uid="{CCA709D3-FADD-2A4C-B400-2CB83021D6C1}"/>
  <tableColumns count="5">
    <tableColumn id="1" xr3:uid="{704984FE-D06E-C84C-B348-9041FFD0C38B}" name="#" dataDxfId="31"/>
    <tableColumn id="2" xr3:uid="{FBB6FC56-81AD-F347-9256-6A2004586163}" name="Company" dataDxfId="30"/>
    <tableColumn id="3" xr3:uid="{289EA805-D467-D34B-8315-A87A9DC6FCB0}" name="FY2021" dataDxfId="29"/>
    <tableColumn id="8" xr3:uid="{6BB6AE14-81F9-D445-A4BA-A8497B01D910}" name="FY2026" dataDxfId="28"/>
    <tableColumn id="9" xr3:uid="{C99B2D5B-F14D-C648-A31B-27D2EEBB0927}" name="% Change_x000a_(FY21→FY26)" dataDxfId="27">
      <calculatedColumnFormula>IFERROR(IF(C4&lt;=0,"n/a (loss base yr)",(D4-C4)/C4),"n/a")</calculatedColumnFormula>
    </tableColumn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DB3205-9F16-3149-BA52-D3DE9773CEEB}" name="WorkforceDetail_Data" displayName="WorkforceDetail_Data" ref="A3:F23" totalsRowShown="0" headerRowDxfId="26" headerRowBorderDxfId="25" tableBorderDxfId="24" totalsRowBorderDxfId="23">
  <autoFilter ref="A3:F23" xr:uid="{FDDB3205-9F16-3149-BA52-D3DE9773CEEB}"/>
  <tableColumns count="6">
    <tableColumn id="1" xr3:uid="{CD3EA6C0-929A-1F47-A60A-86C3A3622A43}" name="#" dataDxfId="22"/>
    <tableColumn id="2" xr3:uid="{89ED5EB8-F617-D74B-8A74-818AC8215C38}" name="Company" dataDxfId="21"/>
    <tableColumn id="3" xr3:uid="{E644D91C-16B6-964D-95C0-C4791673CE1E}" name="Employees_x000a_(Staff)" dataDxfId="20"/>
    <tableColumn id="4" xr3:uid="{E25E5E40-D96C-7044-9EE2-993BA3B89D5C}" name="Workers_x000a_(Shop-floor)" dataDxfId="19"/>
    <tableColumn id="5" xr3:uid="{5B20F48D-43FC-8942-A716-116FC895DAA1}" name="Total_x000a_Workforce" dataDxfId="18">
      <calculatedColumnFormula>IFERROR(SUM(C4:D4),"n/a")</calculatedColumnFormula>
    </tableColumn>
    <tableColumn id="6" xr3:uid="{363DD1B6-F137-BA4B-9F6C-484B74FBD8B9}" name="Data Year" dataDxfId="17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98EA7B-E1C0-A448-A78C-9C98B09602CE}" name="NotesFlags_Data" displayName="NotesFlags_Data" ref="A3:C18" totalsRowShown="0" headerRowDxfId="16" headerRowBorderDxfId="15" tableBorderDxfId="14" totalsRowBorderDxfId="13">
  <autoFilter ref="A3:C18" xr:uid="{C198EA7B-E1C0-A448-A78C-9C98B09602CE}"/>
  <tableColumns count="3">
    <tableColumn id="1" xr3:uid="{9E37B2E2-6568-5D4C-AA17-3AAEEAE985CE}" name="Company" dataDxfId="12"/>
    <tableColumn id="2" xr3:uid="{80746E17-DE61-D845-A81E-61DEA5005D39}" name="Flag / Caveat" dataDxfId="11"/>
    <tableColumn id="3" xr3:uid="{CA58B558-D326-1E4F-8F5E-E60E17B0CDFD}" name="Recommended Action" dataDxfId="1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7DA48F-6D97-CF4A-AD7B-88317995876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50c9d27-d143-4055-b4a5-3fc54fa9a2e1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showGridLines="0" zoomScaleNormal="100" workbookViewId="0">
      <selection activeCell="J8" sqref="J8"/>
    </sheetView>
  </sheetViews>
  <sheetFormatPr baseColWidth="10" defaultColWidth="8.6640625" defaultRowHeight="15" x14ac:dyDescent="0.2"/>
  <cols>
    <col min="1" max="1" width="20" customWidth="1"/>
    <col min="2" max="2" width="90" customWidth="1"/>
    <col min="3" max="6" width="16" customWidth="1"/>
  </cols>
  <sheetData>
    <row r="1" spans="1:6" ht="25.5" customHeight="1" x14ac:dyDescent="0.2">
      <c r="A1" s="58" t="s">
        <v>0</v>
      </c>
      <c r="B1" s="58"/>
      <c r="C1" s="58"/>
      <c r="D1" s="58"/>
      <c r="E1" s="58"/>
      <c r="F1" s="58"/>
    </row>
    <row r="2" spans="1:6" x14ac:dyDescent="0.2">
      <c r="A2" s="1"/>
      <c r="B2" s="60"/>
      <c r="C2" s="60"/>
      <c r="D2" s="60"/>
      <c r="E2" s="60"/>
      <c r="F2" s="60"/>
    </row>
    <row r="3" spans="1:6" ht="23.75" customHeight="1" x14ac:dyDescent="0.2">
      <c r="A3" s="1" t="s">
        <v>1</v>
      </c>
      <c r="B3" s="60" t="s">
        <v>2</v>
      </c>
      <c r="C3" s="60"/>
      <c r="D3" s="60"/>
      <c r="E3" s="60"/>
      <c r="F3" s="60"/>
    </row>
    <row r="4" spans="1:6" ht="23.75" customHeight="1" x14ac:dyDescent="0.2">
      <c r="A4" s="1" t="s">
        <v>3</v>
      </c>
      <c r="B4" s="60" t="s">
        <v>4</v>
      </c>
      <c r="C4" s="60"/>
      <c r="D4" s="60"/>
      <c r="E4" s="60"/>
      <c r="F4" s="60"/>
    </row>
    <row r="5" spans="1:6" x14ac:dyDescent="0.2">
      <c r="A5" s="1"/>
      <c r="B5" s="60"/>
      <c r="C5" s="60"/>
      <c r="D5" s="60"/>
      <c r="E5" s="60"/>
      <c r="F5" s="60"/>
    </row>
    <row r="6" spans="1:6" x14ac:dyDescent="0.2">
      <c r="A6" s="2" t="s">
        <v>5</v>
      </c>
    </row>
    <row r="7" spans="1:6" ht="15" customHeight="1" x14ac:dyDescent="0.2">
      <c r="A7" s="1" t="s">
        <v>6</v>
      </c>
      <c r="B7" s="60" t="s">
        <v>7</v>
      </c>
      <c r="C7" s="60"/>
      <c r="D7" s="60"/>
      <c r="E7" s="60"/>
      <c r="F7" s="60"/>
    </row>
    <row r="8" spans="1:6" ht="15" customHeight="1" x14ac:dyDescent="0.2">
      <c r="A8" s="1" t="s">
        <v>8</v>
      </c>
      <c r="B8" s="60" t="s">
        <v>9</v>
      </c>
      <c r="C8" s="60"/>
      <c r="D8" s="60"/>
      <c r="E8" s="60"/>
      <c r="F8" s="60"/>
    </row>
    <row r="9" spans="1:6" ht="15" customHeight="1" x14ac:dyDescent="0.2">
      <c r="A9" s="1" t="s">
        <v>10</v>
      </c>
      <c r="B9" s="60" t="s">
        <v>11</v>
      </c>
      <c r="C9" s="60"/>
      <c r="D9" s="60"/>
      <c r="E9" s="60"/>
      <c r="F9" s="60"/>
    </row>
    <row r="10" spans="1:6" ht="15" customHeight="1" x14ac:dyDescent="0.2">
      <c r="A10" s="1" t="s">
        <v>12</v>
      </c>
      <c r="B10" s="60" t="s">
        <v>13</v>
      </c>
      <c r="C10" s="60"/>
      <c r="D10" s="60"/>
      <c r="E10" s="60"/>
      <c r="F10" s="60"/>
    </row>
    <row r="11" spans="1:6" ht="15" customHeight="1" x14ac:dyDescent="0.2">
      <c r="A11" s="1" t="s">
        <v>14</v>
      </c>
      <c r="B11" s="60" t="s">
        <v>15</v>
      </c>
      <c r="C11" s="60"/>
      <c r="D11" s="60"/>
      <c r="E11" s="60"/>
      <c r="F11" s="60"/>
    </row>
    <row r="12" spans="1:6" ht="15" customHeight="1" x14ac:dyDescent="0.2">
      <c r="A12" s="1" t="s">
        <v>16</v>
      </c>
      <c r="B12" s="60" t="s">
        <v>17</v>
      </c>
      <c r="C12" s="60"/>
      <c r="D12" s="60"/>
      <c r="E12" s="60"/>
      <c r="F12" s="60"/>
    </row>
    <row r="13" spans="1:6" x14ac:dyDescent="0.2">
      <c r="A13" s="1"/>
      <c r="B13" s="60"/>
      <c r="C13" s="60"/>
      <c r="D13" s="60"/>
      <c r="E13" s="60"/>
      <c r="F13" s="60"/>
    </row>
    <row r="14" spans="1:6" x14ac:dyDescent="0.2">
      <c r="A14" s="2" t="s">
        <v>18</v>
      </c>
    </row>
    <row r="15" spans="1:6" ht="15" customHeight="1" x14ac:dyDescent="0.2">
      <c r="A15" s="1" t="s">
        <v>19</v>
      </c>
      <c r="B15" s="60" t="s">
        <v>20</v>
      </c>
      <c r="C15" s="60"/>
      <c r="D15" s="60"/>
      <c r="E15" s="60"/>
      <c r="F15" s="60"/>
    </row>
    <row r="16" spans="1:6" ht="23.75" customHeight="1" x14ac:dyDescent="0.2">
      <c r="A16" s="1" t="s">
        <v>21</v>
      </c>
      <c r="B16" s="60" t="s">
        <v>22</v>
      </c>
      <c r="C16" s="60"/>
      <c r="D16" s="60"/>
      <c r="E16" s="60"/>
      <c r="F16" s="60"/>
    </row>
    <row r="17" spans="1:6" ht="23.75" customHeight="1" x14ac:dyDescent="0.2">
      <c r="A17" s="1" t="s">
        <v>23</v>
      </c>
      <c r="B17" s="60" t="s">
        <v>24</v>
      </c>
      <c r="C17" s="60"/>
      <c r="D17" s="60"/>
      <c r="E17" s="60"/>
      <c r="F17" s="60"/>
    </row>
    <row r="18" spans="1:6" ht="23.75" customHeight="1" x14ac:dyDescent="0.2">
      <c r="A18" s="1" t="s">
        <v>25</v>
      </c>
      <c r="B18" s="60" t="s">
        <v>26</v>
      </c>
      <c r="C18" s="60"/>
      <c r="D18" s="60"/>
      <c r="E18" s="60"/>
      <c r="F18" s="60"/>
    </row>
    <row r="19" spans="1:6" ht="23.75" customHeight="1" x14ac:dyDescent="0.2">
      <c r="A19" s="1" t="s">
        <v>27</v>
      </c>
      <c r="B19" s="60" t="s">
        <v>28</v>
      </c>
      <c r="C19" s="60"/>
      <c r="D19" s="60"/>
      <c r="E19" s="60"/>
      <c r="F19" s="60"/>
    </row>
    <row r="20" spans="1:6" ht="23.75" customHeight="1" x14ac:dyDescent="0.2">
      <c r="A20" s="1" t="s">
        <v>29</v>
      </c>
      <c r="B20" s="60" t="s">
        <v>30</v>
      </c>
      <c r="C20" s="60"/>
      <c r="D20" s="60"/>
      <c r="E20" s="60"/>
      <c r="F20" s="60"/>
    </row>
    <row r="21" spans="1:6" x14ac:dyDescent="0.2">
      <c r="A21" s="1"/>
      <c r="B21" s="60"/>
      <c r="C21" s="60"/>
      <c r="D21" s="60"/>
      <c r="E21" s="60"/>
      <c r="F21" s="60"/>
    </row>
    <row r="22" spans="1:6" x14ac:dyDescent="0.2">
      <c r="A22" s="2" t="s">
        <v>31</v>
      </c>
    </row>
    <row r="23" spans="1:6" ht="15" customHeight="1" x14ac:dyDescent="0.2">
      <c r="A23" s="1" t="s">
        <v>32</v>
      </c>
      <c r="B23" s="60" t="s">
        <v>33</v>
      </c>
      <c r="C23" s="60"/>
      <c r="D23" s="60"/>
      <c r="E23" s="60"/>
      <c r="F23" s="60"/>
    </row>
    <row r="24" spans="1:6" ht="15" customHeight="1" x14ac:dyDescent="0.2">
      <c r="A24" s="1" t="s">
        <v>34</v>
      </c>
      <c r="B24" s="60" t="s">
        <v>35</v>
      </c>
      <c r="C24" s="60"/>
      <c r="D24" s="60"/>
      <c r="E24" s="60"/>
      <c r="F24" s="60"/>
    </row>
    <row r="25" spans="1:6" ht="15" customHeight="1" x14ac:dyDescent="0.2">
      <c r="A25" s="1" t="s">
        <v>36</v>
      </c>
      <c r="B25" s="60" t="s">
        <v>37</v>
      </c>
      <c r="C25" s="60"/>
      <c r="D25" s="60"/>
      <c r="E25" s="60"/>
      <c r="F25" s="60"/>
    </row>
    <row r="26" spans="1:6" ht="15" customHeight="1" x14ac:dyDescent="0.2">
      <c r="A26" s="1" t="s">
        <v>38</v>
      </c>
      <c r="B26" s="60" t="s">
        <v>39</v>
      </c>
      <c r="C26" s="60"/>
      <c r="D26" s="60"/>
      <c r="E26" s="60"/>
      <c r="F26" s="60"/>
    </row>
  </sheetData>
  <mergeCells count="23">
    <mergeCell ref="A1:F1"/>
    <mergeCell ref="B2:F2"/>
    <mergeCell ref="B3:F3"/>
    <mergeCell ref="B4:F4"/>
    <mergeCell ref="B5:F5"/>
    <mergeCell ref="B7:F7"/>
    <mergeCell ref="B8:F8"/>
    <mergeCell ref="B9:F9"/>
    <mergeCell ref="B10:F10"/>
    <mergeCell ref="B11:F11"/>
    <mergeCell ref="B12:F12"/>
    <mergeCell ref="B13:F13"/>
    <mergeCell ref="B15:F15"/>
    <mergeCell ref="B16:F16"/>
    <mergeCell ref="B17:F17"/>
    <mergeCell ref="B24:F24"/>
    <mergeCell ref="B25:F25"/>
    <mergeCell ref="B26:F26"/>
    <mergeCell ref="B18:F18"/>
    <mergeCell ref="B19:F19"/>
    <mergeCell ref="B20:F20"/>
    <mergeCell ref="B21:F21"/>
    <mergeCell ref="B23:F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"/>
  <sheetViews>
    <sheetView showGridLines="0"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Q12" sqref="Q12"/>
    </sheetView>
  </sheetViews>
  <sheetFormatPr baseColWidth="10" defaultColWidth="8.6640625" defaultRowHeight="15" x14ac:dyDescent="0.2"/>
  <cols>
    <col min="1" max="1" width="4.5" customWidth="1"/>
    <col min="2" max="2" width="30" customWidth="1"/>
    <col min="3" max="5" width="13" customWidth="1"/>
    <col min="6" max="6" width="11" customWidth="1"/>
    <col min="7" max="7" width="12" customWidth="1"/>
    <col min="8" max="9" width="13" customWidth="1"/>
    <col min="10" max="10" width="11" customWidth="1"/>
    <col min="11" max="11" width="12" customWidth="1"/>
    <col min="12" max="12" width="11" customWidth="1"/>
    <col min="13" max="13" width="12.6640625" customWidth="1"/>
    <col min="14" max="14" width="10.33203125" customWidth="1"/>
    <col min="15" max="15" width="11" customWidth="1"/>
    <col min="16" max="16" width="19.1640625" customWidth="1"/>
    <col min="17" max="17" width="15" customWidth="1"/>
  </cols>
  <sheetData>
    <row r="1" spans="1:16" ht="25.5" customHeight="1" x14ac:dyDescent="0.2">
      <c r="A1" s="58" t="s">
        <v>40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3" spans="1:16" ht="42" x14ac:dyDescent="0.2">
      <c r="A3" s="35" t="s">
        <v>41</v>
      </c>
      <c r="B3" s="36" t="s">
        <v>42</v>
      </c>
      <c r="C3" s="36" t="s">
        <v>43</v>
      </c>
      <c r="D3" s="36" t="s">
        <v>44</v>
      </c>
      <c r="E3" s="36" t="s">
        <v>45</v>
      </c>
      <c r="F3" s="36" t="s">
        <v>46</v>
      </c>
      <c r="G3" s="36" t="s">
        <v>47</v>
      </c>
      <c r="H3" s="36" t="s">
        <v>48</v>
      </c>
      <c r="I3" s="36" t="s">
        <v>49</v>
      </c>
      <c r="J3" s="36" t="s">
        <v>50</v>
      </c>
      <c r="K3" s="36" t="s">
        <v>51</v>
      </c>
      <c r="L3" s="36" t="s">
        <v>52</v>
      </c>
      <c r="M3" s="36" t="s">
        <v>53</v>
      </c>
      <c r="N3" s="36" t="s">
        <v>54</v>
      </c>
      <c r="O3" s="36" t="s">
        <v>55</v>
      </c>
      <c r="P3" s="36" t="s">
        <v>56</v>
      </c>
    </row>
    <row r="4" spans="1:16" x14ac:dyDescent="0.2">
      <c r="A4" s="26">
        <v>1</v>
      </c>
      <c r="B4" s="3" t="s">
        <v>57</v>
      </c>
      <c r="C4" s="4" t="s">
        <v>58</v>
      </c>
      <c r="D4" s="5">
        <v>57370</v>
      </c>
      <c r="E4" s="5">
        <v>126104</v>
      </c>
      <c r="F4" s="6">
        <f t="shared" ref="F4:F23" si="0">IFERROR(POWER(E4/D4,1/5)-1,"n/a")</f>
        <v>0.17060076213940567</v>
      </c>
      <c r="G4" s="7">
        <f t="shared" ref="G4:G23" si="1">IFERROR((E4-D4)/D4,"n/a")</f>
        <v>1.1980826215792226</v>
      </c>
      <c r="H4" s="5">
        <v>1569</v>
      </c>
      <c r="I4" s="5">
        <v>4086</v>
      </c>
      <c r="J4" s="6">
        <f t="shared" ref="J4:J23" si="2">IFERROR(IF(H4&lt;=0,"n/a (loss base yr)",POWER(I4/H4,1/5)-1),"n/a")</f>
        <v>0.21097473875255579</v>
      </c>
      <c r="K4" s="7">
        <f t="shared" ref="K4:K23" si="3">IFERROR(IF(H4&lt;=0,"n/a (loss base yr)",(I4-H4)/H4),"n/a")</f>
        <v>1.6042065009560229</v>
      </c>
      <c r="L4" s="8">
        <v>0.25</v>
      </c>
      <c r="M4" s="5">
        <v>37732</v>
      </c>
      <c r="N4" s="5">
        <v>90154</v>
      </c>
      <c r="O4" s="9">
        <f t="shared" ref="O4:O23" si="4">IFERROR(SUM(M4:N4),"n/a")</f>
        <v>127886</v>
      </c>
      <c r="P4" s="10">
        <f t="shared" ref="P4:P23" si="5">IFERROR(E4*100/O4,"n/a")</f>
        <v>98.606571477722341</v>
      </c>
    </row>
    <row r="5" spans="1:16" x14ac:dyDescent="0.2">
      <c r="A5" s="27">
        <v>2</v>
      </c>
      <c r="B5" s="11" t="s">
        <v>59</v>
      </c>
      <c r="C5" s="12" t="s">
        <v>58</v>
      </c>
      <c r="D5" s="13">
        <v>11782</v>
      </c>
      <c r="E5" s="13">
        <v>20035</v>
      </c>
      <c r="F5" s="14">
        <f t="shared" si="0"/>
        <v>0.11202375743247739</v>
      </c>
      <c r="G5" s="15">
        <f t="shared" si="1"/>
        <v>0.70047530130707858</v>
      </c>
      <c r="H5" s="13">
        <v>1218</v>
      </c>
      <c r="I5" s="13">
        <v>2773</v>
      </c>
      <c r="J5" s="14">
        <f t="shared" si="2"/>
        <v>0.17885534311558304</v>
      </c>
      <c r="K5" s="15">
        <f t="shared" si="3"/>
        <v>1.2766830870279147</v>
      </c>
      <c r="L5" s="16">
        <v>0.08</v>
      </c>
      <c r="M5" s="13">
        <v>38655</v>
      </c>
      <c r="N5" s="13"/>
      <c r="O5" s="17">
        <f t="shared" si="4"/>
        <v>38655</v>
      </c>
      <c r="P5" s="18">
        <f t="shared" si="5"/>
        <v>51.830293623075931</v>
      </c>
    </row>
    <row r="6" spans="1:16" x14ac:dyDescent="0.2">
      <c r="A6" s="26">
        <v>3</v>
      </c>
      <c r="B6" s="3" t="s">
        <v>60</v>
      </c>
      <c r="C6" s="4" t="s">
        <v>58</v>
      </c>
      <c r="D6" s="5">
        <v>6336</v>
      </c>
      <c r="E6" s="5">
        <v>16812</v>
      </c>
      <c r="F6" s="6">
        <f t="shared" si="0"/>
        <v>0.2155164552490707</v>
      </c>
      <c r="G6" s="7">
        <f t="shared" si="1"/>
        <v>1.6534090909090908</v>
      </c>
      <c r="H6" s="5">
        <v>-127</v>
      </c>
      <c r="I6" s="5">
        <v>1089</v>
      </c>
      <c r="J6" s="6" t="str">
        <f t="shared" si="2"/>
        <v>n/a (loss base yr)</v>
      </c>
      <c r="K6" s="7" t="str">
        <f t="shared" si="3"/>
        <v>n/a (loss base yr)</v>
      </c>
      <c r="L6" s="8">
        <v>0.12509999999999999</v>
      </c>
      <c r="M6" s="5">
        <v>2948</v>
      </c>
      <c r="N6" s="5">
        <v>6545</v>
      </c>
      <c r="O6" s="9">
        <f t="shared" si="4"/>
        <v>9493</v>
      </c>
      <c r="P6" s="10">
        <f t="shared" si="5"/>
        <v>177.09891498999264</v>
      </c>
    </row>
    <row r="7" spans="1:16" x14ac:dyDescent="0.2">
      <c r="A7" s="27">
        <v>4</v>
      </c>
      <c r="B7" s="11" t="s">
        <v>61</v>
      </c>
      <c r="C7" s="12" t="s">
        <v>58</v>
      </c>
      <c r="D7" s="13">
        <v>6374</v>
      </c>
      <c r="E7" s="13">
        <v>19658</v>
      </c>
      <c r="F7" s="14">
        <f t="shared" si="0"/>
        <v>0.25263763082457236</v>
      </c>
      <c r="G7" s="15">
        <f t="shared" si="1"/>
        <v>2.0840916222152495</v>
      </c>
      <c r="H7" s="13">
        <v>248</v>
      </c>
      <c r="I7" s="13">
        <v>1284</v>
      </c>
      <c r="J7" s="14">
        <f t="shared" si="2"/>
        <v>0.38938520066288929</v>
      </c>
      <c r="K7" s="15">
        <f t="shared" si="3"/>
        <v>4.17741935483871</v>
      </c>
      <c r="L7" s="16">
        <v>0.13</v>
      </c>
      <c r="M7" s="13">
        <v>3289</v>
      </c>
      <c r="N7" s="13">
        <v>16216</v>
      </c>
      <c r="O7" s="17">
        <f t="shared" si="4"/>
        <v>19505</v>
      </c>
      <c r="P7" s="18">
        <f t="shared" si="5"/>
        <v>100.78441425275571</v>
      </c>
    </row>
    <row r="8" spans="1:16" x14ac:dyDescent="0.2">
      <c r="A8" s="26">
        <v>5</v>
      </c>
      <c r="B8" s="3" t="s">
        <v>62</v>
      </c>
      <c r="C8" s="4" t="s">
        <v>58</v>
      </c>
      <c r="D8" s="5">
        <v>10359</v>
      </c>
      <c r="E8" s="5">
        <v>17995</v>
      </c>
      <c r="F8" s="6">
        <f t="shared" si="0"/>
        <v>0.11677788072752038</v>
      </c>
      <c r="G8" s="7">
        <f t="shared" si="1"/>
        <v>0.73713678926537307</v>
      </c>
      <c r="H8" s="5">
        <v>803</v>
      </c>
      <c r="I8" s="5">
        <v>860</v>
      </c>
      <c r="J8" s="6">
        <f t="shared" si="2"/>
        <v>1.3810024508063456E-2</v>
      </c>
      <c r="K8" s="7">
        <f t="shared" si="3"/>
        <v>7.0983810709838113E-2</v>
      </c>
      <c r="L8" s="8">
        <v>0.08</v>
      </c>
      <c r="M8" s="5">
        <v>4199</v>
      </c>
      <c r="N8" s="5">
        <v>14761</v>
      </c>
      <c r="O8" s="9">
        <f t="shared" si="4"/>
        <v>18960</v>
      </c>
      <c r="P8" s="10">
        <f t="shared" si="5"/>
        <v>94.910337552742618</v>
      </c>
    </row>
    <row r="9" spans="1:16" x14ac:dyDescent="0.2">
      <c r="A9" s="27">
        <v>6</v>
      </c>
      <c r="B9" s="11" t="s">
        <v>63</v>
      </c>
      <c r="C9" s="12" t="s">
        <v>64</v>
      </c>
      <c r="D9" s="13">
        <v>7150</v>
      </c>
      <c r="E9" s="13">
        <v>13549</v>
      </c>
      <c r="F9" s="14">
        <f t="shared" si="0"/>
        <v>0.13637125675485851</v>
      </c>
      <c r="G9" s="15">
        <f t="shared" si="1"/>
        <v>0.89496503496503499</v>
      </c>
      <c r="H9" s="13">
        <v>647</v>
      </c>
      <c r="I9" s="13">
        <v>970</v>
      </c>
      <c r="J9" s="14">
        <f t="shared" si="2"/>
        <v>8.4360004548802658E-2</v>
      </c>
      <c r="K9" s="15">
        <f t="shared" si="3"/>
        <v>0.4992272024729521</v>
      </c>
      <c r="L9" s="16">
        <v>0.06</v>
      </c>
      <c r="M9" s="13">
        <v>2632</v>
      </c>
      <c r="N9" s="13">
        <v>7608</v>
      </c>
      <c r="O9" s="17">
        <f t="shared" si="4"/>
        <v>10240</v>
      </c>
      <c r="P9" s="18">
        <f t="shared" si="5"/>
        <v>132.314453125</v>
      </c>
    </row>
    <row r="10" spans="1:16" x14ac:dyDescent="0.2">
      <c r="A10" s="26">
        <v>7</v>
      </c>
      <c r="B10" s="3" t="s">
        <v>65</v>
      </c>
      <c r="C10" s="4" t="s">
        <v>58</v>
      </c>
      <c r="D10" s="5">
        <v>6050</v>
      </c>
      <c r="E10" s="5">
        <v>9406</v>
      </c>
      <c r="F10" s="6">
        <f t="shared" si="0"/>
        <v>9.2269784591246129E-2</v>
      </c>
      <c r="G10" s="7">
        <f t="shared" si="1"/>
        <v>0.55471074380165286</v>
      </c>
      <c r="H10" s="5">
        <v>106</v>
      </c>
      <c r="I10" s="5">
        <v>828</v>
      </c>
      <c r="J10" s="6">
        <f t="shared" si="2"/>
        <v>0.50849854043291587</v>
      </c>
      <c r="K10" s="7">
        <f t="shared" si="3"/>
        <v>6.8113207547169807</v>
      </c>
      <c r="L10" s="8">
        <v>0.12</v>
      </c>
      <c r="M10" s="5">
        <v>1640</v>
      </c>
      <c r="N10" s="5">
        <v>8271</v>
      </c>
      <c r="O10" s="9">
        <f t="shared" si="4"/>
        <v>9911</v>
      </c>
      <c r="P10" s="10">
        <f t="shared" si="5"/>
        <v>94.904651397437192</v>
      </c>
    </row>
    <row r="11" spans="1:16" x14ac:dyDescent="0.2">
      <c r="A11" s="27">
        <v>8</v>
      </c>
      <c r="B11" s="11" t="s">
        <v>66</v>
      </c>
      <c r="C11" s="12" t="s">
        <v>58</v>
      </c>
      <c r="D11" s="13">
        <v>6547</v>
      </c>
      <c r="E11" s="13">
        <v>14596</v>
      </c>
      <c r="F11" s="14">
        <f t="shared" si="0"/>
        <v>0.17391946215635179</v>
      </c>
      <c r="G11" s="15">
        <f t="shared" si="1"/>
        <v>1.2294180540705666</v>
      </c>
      <c r="H11" s="13">
        <v>520</v>
      </c>
      <c r="I11" s="13">
        <v>952</v>
      </c>
      <c r="J11" s="14">
        <f t="shared" si="2"/>
        <v>0.12856537292790038</v>
      </c>
      <c r="K11" s="15">
        <f t="shared" si="3"/>
        <v>0.83076923076923082</v>
      </c>
      <c r="L11" s="16">
        <v>0.08</v>
      </c>
      <c r="M11" s="13">
        <v>2134</v>
      </c>
      <c r="N11" s="13">
        <v>13006</v>
      </c>
      <c r="O11" s="17">
        <f t="shared" si="4"/>
        <v>15140</v>
      </c>
      <c r="P11" s="18">
        <f t="shared" si="5"/>
        <v>96.406869220607661</v>
      </c>
    </row>
    <row r="12" spans="1:16" x14ac:dyDescent="0.2">
      <c r="A12" s="26">
        <v>9</v>
      </c>
      <c r="B12" s="3" t="s">
        <v>67</v>
      </c>
      <c r="C12" s="4" t="s">
        <v>64</v>
      </c>
      <c r="D12" s="5">
        <v>4361</v>
      </c>
      <c r="E12" s="5">
        <v>9395</v>
      </c>
      <c r="F12" s="6">
        <f t="shared" si="0"/>
        <v>0.1659022476753127</v>
      </c>
      <c r="G12" s="7">
        <f t="shared" si="1"/>
        <v>1.1543224031185508</v>
      </c>
      <c r="H12" s="5">
        <v>368</v>
      </c>
      <c r="I12" s="5">
        <v>1196</v>
      </c>
      <c r="J12" s="6">
        <f t="shared" si="2"/>
        <v>0.2658337541579836</v>
      </c>
      <c r="K12" s="7">
        <f t="shared" si="3"/>
        <v>2.25</v>
      </c>
      <c r="L12" s="8">
        <v>0.06</v>
      </c>
      <c r="M12" s="5">
        <v>3605</v>
      </c>
      <c r="N12" s="5"/>
      <c r="O12" s="9">
        <f t="shared" si="4"/>
        <v>3605</v>
      </c>
      <c r="P12" s="10">
        <f t="shared" si="5"/>
        <v>260.61026352288491</v>
      </c>
    </row>
    <row r="13" spans="1:16" x14ac:dyDescent="0.2">
      <c r="A13" s="27">
        <v>10</v>
      </c>
      <c r="B13" s="11" t="s">
        <v>68</v>
      </c>
      <c r="C13" s="12" t="s">
        <v>58</v>
      </c>
      <c r="D13" s="13">
        <v>3644</v>
      </c>
      <c r="E13" s="13">
        <v>6289</v>
      </c>
      <c r="F13" s="14">
        <f t="shared" si="0"/>
        <v>0.11532296673316145</v>
      </c>
      <c r="G13" s="15">
        <f t="shared" si="1"/>
        <v>0.72585071350164654</v>
      </c>
      <c r="H13" s="13">
        <v>363</v>
      </c>
      <c r="I13" s="13">
        <v>593</v>
      </c>
      <c r="J13" s="14">
        <f t="shared" si="2"/>
        <v>0.10313741221948236</v>
      </c>
      <c r="K13" s="15">
        <f t="shared" si="3"/>
        <v>0.63360881542699721</v>
      </c>
      <c r="L13" s="16">
        <v>9.2999999999999999E-2</v>
      </c>
      <c r="M13" s="13">
        <v>2043</v>
      </c>
      <c r="N13" s="13">
        <v>7655</v>
      </c>
      <c r="O13" s="17">
        <f t="shared" si="4"/>
        <v>9698</v>
      </c>
      <c r="P13" s="18">
        <f t="shared" si="5"/>
        <v>64.848422355124768</v>
      </c>
    </row>
    <row r="14" spans="1:16" x14ac:dyDescent="0.2">
      <c r="A14" s="26">
        <v>11</v>
      </c>
      <c r="B14" s="3" t="s">
        <v>69</v>
      </c>
      <c r="C14" s="4" t="s">
        <v>58</v>
      </c>
      <c r="D14" s="5">
        <v>6083</v>
      </c>
      <c r="E14" s="5">
        <v>22847</v>
      </c>
      <c r="F14" s="6">
        <f t="shared" si="0"/>
        <v>0.30299357144130412</v>
      </c>
      <c r="G14" s="7">
        <f t="shared" si="1"/>
        <v>2.755877034358047</v>
      </c>
      <c r="H14" s="5">
        <v>286</v>
      </c>
      <c r="I14" s="5">
        <v>1118</v>
      </c>
      <c r="J14" s="6">
        <f t="shared" si="2"/>
        <v>0.31345486686056256</v>
      </c>
      <c r="K14" s="7">
        <f t="shared" si="3"/>
        <v>2.9090909090909092</v>
      </c>
      <c r="L14" s="8">
        <v>0.1</v>
      </c>
      <c r="M14" s="5">
        <v>1874</v>
      </c>
      <c r="N14" s="5">
        <v>14203</v>
      </c>
      <c r="O14" s="9">
        <f t="shared" si="4"/>
        <v>16077</v>
      </c>
      <c r="P14" s="10">
        <f t="shared" si="5"/>
        <v>142.10984636437146</v>
      </c>
    </row>
    <row r="15" spans="1:16" x14ac:dyDescent="0.2">
      <c r="A15" s="27">
        <v>12</v>
      </c>
      <c r="B15" s="11" t="s">
        <v>70</v>
      </c>
      <c r="C15" s="12" t="s">
        <v>64</v>
      </c>
      <c r="D15" s="13">
        <v>3938</v>
      </c>
      <c r="E15" s="13">
        <v>11478</v>
      </c>
      <c r="F15" s="14">
        <f t="shared" si="0"/>
        <v>0.23856299907706746</v>
      </c>
      <c r="G15" s="15">
        <f t="shared" si="1"/>
        <v>1.9146775012696799</v>
      </c>
      <c r="H15" s="13">
        <v>396</v>
      </c>
      <c r="I15" s="13">
        <v>625</v>
      </c>
      <c r="J15" s="14">
        <f t="shared" si="2"/>
        <v>9.556201542816356E-2</v>
      </c>
      <c r="K15" s="15">
        <f t="shared" si="3"/>
        <v>0.57828282828282829</v>
      </c>
      <c r="L15" s="16">
        <v>0.17</v>
      </c>
      <c r="M15" s="13">
        <v>4305</v>
      </c>
      <c r="N15" s="13">
        <v>49327</v>
      </c>
      <c r="O15" s="17">
        <f t="shared" si="4"/>
        <v>53632</v>
      </c>
      <c r="P15" s="18">
        <f t="shared" si="5"/>
        <v>21.401402147971361</v>
      </c>
    </row>
    <row r="16" spans="1:16" x14ac:dyDescent="0.2">
      <c r="A16" s="26">
        <v>13</v>
      </c>
      <c r="B16" s="3" t="s">
        <v>71</v>
      </c>
      <c r="C16" s="4" t="s">
        <v>58</v>
      </c>
      <c r="D16" s="5">
        <v>1796</v>
      </c>
      <c r="E16" s="5">
        <v>3756</v>
      </c>
      <c r="F16" s="6">
        <f t="shared" si="0"/>
        <v>0.15900110561187275</v>
      </c>
      <c r="G16" s="7">
        <f t="shared" si="1"/>
        <v>1.0913140311804008</v>
      </c>
      <c r="H16" s="5">
        <v>47</v>
      </c>
      <c r="I16" s="5">
        <v>166</v>
      </c>
      <c r="J16" s="6">
        <f t="shared" si="2"/>
        <v>0.28706963980064359</v>
      </c>
      <c r="K16" s="7">
        <f t="shared" si="3"/>
        <v>2.5319148936170213</v>
      </c>
      <c r="L16" s="8">
        <v>0.1</v>
      </c>
      <c r="M16" s="5">
        <v>1269</v>
      </c>
      <c r="N16" s="5">
        <v>4741</v>
      </c>
      <c r="O16" s="9">
        <f t="shared" si="4"/>
        <v>6010</v>
      </c>
      <c r="P16" s="10">
        <f t="shared" si="5"/>
        <v>62.495840266222963</v>
      </c>
    </row>
    <row r="17" spans="1:17" x14ac:dyDescent="0.2">
      <c r="A17" s="27">
        <v>14</v>
      </c>
      <c r="B17" s="11" t="s">
        <v>72</v>
      </c>
      <c r="C17" s="12" t="s">
        <v>58</v>
      </c>
      <c r="D17" s="13">
        <v>1426</v>
      </c>
      <c r="E17" s="13">
        <v>4184</v>
      </c>
      <c r="F17" s="14">
        <f t="shared" si="0"/>
        <v>0.24020771905420002</v>
      </c>
      <c r="G17" s="15">
        <f t="shared" si="1"/>
        <v>1.9340813464235624</v>
      </c>
      <c r="H17" s="13">
        <v>18</v>
      </c>
      <c r="I17" s="13">
        <v>172</v>
      </c>
      <c r="J17" s="14">
        <f t="shared" si="2"/>
        <v>0.57054790692798374</v>
      </c>
      <c r="K17" s="15">
        <f t="shared" si="3"/>
        <v>8.5555555555555554</v>
      </c>
      <c r="L17" s="16">
        <v>0.11</v>
      </c>
      <c r="M17" s="13">
        <v>1504</v>
      </c>
      <c r="N17" s="13">
        <v>5605</v>
      </c>
      <c r="O17" s="17">
        <f t="shared" si="4"/>
        <v>7109</v>
      </c>
      <c r="P17" s="18">
        <f t="shared" si="5"/>
        <v>58.854972569981712</v>
      </c>
    </row>
    <row r="18" spans="1:17" x14ac:dyDescent="0.2">
      <c r="A18" s="26">
        <v>15</v>
      </c>
      <c r="B18" s="3" t="s">
        <v>73</v>
      </c>
      <c r="C18" s="4" t="s">
        <v>58</v>
      </c>
      <c r="D18" s="5">
        <v>1641</v>
      </c>
      <c r="E18" s="5">
        <v>3825</v>
      </c>
      <c r="F18" s="6">
        <f t="shared" si="0"/>
        <v>0.18441683493111038</v>
      </c>
      <c r="G18" s="7">
        <f t="shared" si="1"/>
        <v>1.3308957952468008</v>
      </c>
      <c r="H18" s="5">
        <v>143</v>
      </c>
      <c r="I18" s="5">
        <v>183</v>
      </c>
      <c r="J18" s="6">
        <f t="shared" si="2"/>
        <v>5.0565199428882712E-2</v>
      </c>
      <c r="K18" s="7">
        <f t="shared" si="3"/>
        <v>0.27972027972027974</v>
      </c>
      <c r="L18" s="8">
        <v>0.23</v>
      </c>
      <c r="M18" s="5">
        <v>1143</v>
      </c>
      <c r="N18" s="5">
        <v>1045</v>
      </c>
      <c r="O18" s="9">
        <f t="shared" si="4"/>
        <v>2188</v>
      </c>
      <c r="P18" s="10">
        <f t="shared" si="5"/>
        <v>174.81718464351005</v>
      </c>
    </row>
    <row r="19" spans="1:17" x14ac:dyDescent="0.2">
      <c r="A19" s="27">
        <v>16</v>
      </c>
      <c r="B19" s="11" t="s">
        <v>74</v>
      </c>
      <c r="C19" s="12" t="s">
        <v>58</v>
      </c>
      <c r="D19" s="13">
        <v>1413</v>
      </c>
      <c r="E19" s="13">
        <v>4041</v>
      </c>
      <c r="F19" s="14">
        <f t="shared" si="0"/>
        <v>0.23386980875685692</v>
      </c>
      <c r="G19" s="15">
        <f t="shared" si="1"/>
        <v>1.8598726114649682</v>
      </c>
      <c r="H19" s="13">
        <v>42</v>
      </c>
      <c r="I19" s="13">
        <v>251</v>
      </c>
      <c r="J19" s="14">
        <f t="shared" si="2"/>
        <v>0.42983158437214963</v>
      </c>
      <c r="K19" s="15">
        <f t="shared" si="3"/>
        <v>4.9761904761904763</v>
      </c>
      <c r="L19" s="16">
        <v>0.12</v>
      </c>
      <c r="M19" s="13">
        <v>1181</v>
      </c>
      <c r="N19" s="13">
        <v>4782</v>
      </c>
      <c r="O19" s="17">
        <f t="shared" si="4"/>
        <v>5963</v>
      </c>
      <c r="P19" s="18">
        <f t="shared" si="5"/>
        <v>67.767902062720111</v>
      </c>
    </row>
    <row r="20" spans="1:17" x14ac:dyDescent="0.2">
      <c r="A20" s="26">
        <v>17</v>
      </c>
      <c r="B20" s="3" t="s">
        <v>75</v>
      </c>
      <c r="C20" s="4" t="s">
        <v>58</v>
      </c>
      <c r="D20" s="5">
        <v>4374</v>
      </c>
      <c r="E20" s="5">
        <v>8890</v>
      </c>
      <c r="F20" s="6">
        <f t="shared" si="0"/>
        <v>0.15240357385839687</v>
      </c>
      <c r="G20" s="7">
        <f t="shared" si="1"/>
        <v>1.0324645633287608</v>
      </c>
      <c r="H20" s="5">
        <v>-629</v>
      </c>
      <c r="I20" s="5">
        <v>230</v>
      </c>
      <c r="J20" s="6" t="str">
        <f t="shared" si="2"/>
        <v>n/a (loss base yr)</v>
      </c>
      <c r="K20" s="7" t="str">
        <f t="shared" si="3"/>
        <v>n/a (loss base yr)</v>
      </c>
      <c r="L20" s="8">
        <v>0.11</v>
      </c>
      <c r="M20" s="5">
        <v>3358</v>
      </c>
      <c r="N20" s="5">
        <v>24245</v>
      </c>
      <c r="O20" s="9">
        <f t="shared" si="4"/>
        <v>27603</v>
      </c>
      <c r="P20" s="10">
        <f t="shared" si="5"/>
        <v>32.206644205339998</v>
      </c>
    </row>
    <row r="21" spans="1:17" x14ac:dyDescent="0.2">
      <c r="A21" s="27">
        <v>18</v>
      </c>
      <c r="B21" s="11" t="s">
        <v>76</v>
      </c>
      <c r="C21" s="12" t="s">
        <v>58</v>
      </c>
      <c r="D21" s="13">
        <v>1221</v>
      </c>
      <c r="E21" s="13">
        <v>2816</v>
      </c>
      <c r="F21" s="14">
        <f t="shared" si="0"/>
        <v>0.18190725168479949</v>
      </c>
      <c r="G21" s="15">
        <f t="shared" si="1"/>
        <v>1.3063063063063063</v>
      </c>
      <c r="H21" s="13">
        <v>47</v>
      </c>
      <c r="I21" s="13">
        <v>256</v>
      </c>
      <c r="J21" s="14">
        <f t="shared" si="2"/>
        <v>0.4035517223618339</v>
      </c>
      <c r="K21" s="15">
        <f t="shared" si="3"/>
        <v>4.4468085106382977</v>
      </c>
      <c r="L21" s="16">
        <v>0.14000000000000001</v>
      </c>
      <c r="M21" s="13">
        <v>1220</v>
      </c>
      <c r="N21" s="13">
        <v>7382</v>
      </c>
      <c r="O21" s="17">
        <f t="shared" si="4"/>
        <v>8602</v>
      </c>
      <c r="P21" s="18">
        <f t="shared" si="5"/>
        <v>32.736572890025577</v>
      </c>
    </row>
    <row r="22" spans="1:17" x14ac:dyDescent="0.2">
      <c r="A22" s="26">
        <v>19</v>
      </c>
      <c r="B22" s="3" t="s">
        <v>77</v>
      </c>
      <c r="C22" s="4" t="s">
        <v>64</v>
      </c>
      <c r="D22" s="5">
        <v>616</v>
      </c>
      <c r="E22" s="5">
        <v>1144</v>
      </c>
      <c r="F22" s="6">
        <f t="shared" si="0"/>
        <v>0.13179836563100178</v>
      </c>
      <c r="G22" s="7">
        <f t="shared" si="1"/>
        <v>0.8571428571428571</v>
      </c>
      <c r="H22" s="5">
        <v>87</v>
      </c>
      <c r="I22" s="5">
        <v>141</v>
      </c>
      <c r="J22" s="6">
        <f t="shared" si="2"/>
        <v>0.10138706578336465</v>
      </c>
      <c r="K22" s="7">
        <f t="shared" si="3"/>
        <v>0.62068965517241381</v>
      </c>
      <c r="L22" s="8">
        <v>6.3E-2</v>
      </c>
      <c r="M22" s="5">
        <v>96</v>
      </c>
      <c r="N22" s="5">
        <v>2485</v>
      </c>
      <c r="O22" s="9">
        <f t="shared" si="4"/>
        <v>2581</v>
      </c>
      <c r="P22" s="10">
        <f t="shared" si="5"/>
        <v>44.323905462998837</v>
      </c>
    </row>
    <row r="23" spans="1:17" x14ac:dyDescent="0.2">
      <c r="A23" s="30">
        <v>20</v>
      </c>
      <c r="B23" s="31" t="s">
        <v>78</v>
      </c>
      <c r="C23" s="38" t="s">
        <v>58</v>
      </c>
      <c r="D23" s="32">
        <v>1128</v>
      </c>
      <c r="E23" s="32">
        <v>2026</v>
      </c>
      <c r="F23" s="39">
        <f t="shared" si="0"/>
        <v>0.1242582114187023</v>
      </c>
      <c r="G23" s="40">
        <f t="shared" si="1"/>
        <v>0.79609929078014185</v>
      </c>
      <c r="H23" s="32">
        <v>-48</v>
      </c>
      <c r="I23" s="32">
        <v>252</v>
      </c>
      <c r="J23" s="39" t="str">
        <f t="shared" si="2"/>
        <v>n/a (loss base yr)</v>
      </c>
      <c r="K23" s="40" t="str">
        <f t="shared" si="3"/>
        <v>n/a (loss base yr)</v>
      </c>
      <c r="L23" s="41">
        <v>0.20050000000000001</v>
      </c>
      <c r="M23" s="32">
        <v>615</v>
      </c>
      <c r="N23" s="32">
        <v>2227</v>
      </c>
      <c r="O23" s="33">
        <f t="shared" si="4"/>
        <v>2842</v>
      </c>
      <c r="P23" s="42">
        <f t="shared" si="5"/>
        <v>71.287825475017598</v>
      </c>
    </row>
    <row r="26" spans="1:17" x14ac:dyDescent="0.2">
      <c r="A26" s="19" t="s">
        <v>79</v>
      </c>
    </row>
    <row r="27" spans="1:17" x14ac:dyDescent="0.2">
      <c r="A27" s="59" t="s">
        <v>80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</row>
    <row r="28" spans="1:17" x14ac:dyDescent="0.2">
      <c r="A28" s="59" t="s">
        <v>81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</row>
    <row r="29" spans="1:17" x14ac:dyDescent="0.2">
      <c r="A29" s="59" t="s">
        <v>82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</row>
    <row r="30" spans="1:17" x14ac:dyDescent="0.2">
      <c r="A30" s="59" t="s">
        <v>83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</row>
  </sheetData>
  <mergeCells count="5">
    <mergeCell ref="A1:O1"/>
    <mergeCell ref="A27:Q27"/>
    <mergeCell ref="A28:Q28"/>
    <mergeCell ref="A29:Q29"/>
    <mergeCell ref="A30:Q30"/>
  </mergeCells>
  <conditionalFormatting sqref="F4:G23">
    <cfRule type="cellIs" dxfId="9" priority="2" operator="lessThan">
      <formula>0</formula>
    </cfRule>
    <cfRule type="cellIs" dxfId="8" priority="3" operator="greaterThanOrEqual">
      <formula>0</formula>
    </cfRule>
  </conditionalFormatting>
  <conditionalFormatting sqref="J4:K23">
    <cfRule type="cellIs" dxfId="7" priority="6" operator="lessThan">
      <formula>0</formula>
    </cfRule>
    <cfRule type="cellIs" dxfId="6" priority="7" operator="greaterThanOr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showGridLines="0" zoomScaleNormal="100" workbookViewId="0">
      <selection activeCell="E3" sqref="E3"/>
    </sheetView>
  </sheetViews>
  <sheetFormatPr baseColWidth="10" defaultColWidth="8.6640625" defaultRowHeight="15" x14ac:dyDescent="0.2"/>
  <cols>
    <col min="1" max="1" width="4.5" customWidth="1"/>
    <col min="2" max="2" width="30" customWidth="1"/>
    <col min="3" max="4" width="11" customWidth="1"/>
    <col min="5" max="5" width="15.83203125" customWidth="1"/>
    <col min="6" max="8" width="11" customWidth="1"/>
    <col min="9" max="9" width="13" customWidth="1"/>
  </cols>
  <sheetData>
    <row r="1" spans="1:9" ht="25.5" customHeight="1" x14ac:dyDescent="0.2">
      <c r="A1" s="58" t="s">
        <v>84</v>
      </c>
      <c r="B1" s="58"/>
      <c r="C1" s="58"/>
      <c r="D1" s="58"/>
      <c r="E1" s="58"/>
      <c r="F1" s="58"/>
      <c r="G1" s="58"/>
      <c r="H1" s="58"/>
      <c r="I1" s="58"/>
    </row>
    <row r="3" spans="1:9" ht="28" x14ac:dyDescent="0.2">
      <c r="A3" s="35" t="s">
        <v>41</v>
      </c>
      <c r="B3" s="36" t="s">
        <v>42</v>
      </c>
      <c r="C3" s="36" t="s">
        <v>85</v>
      </c>
      <c r="D3" s="36" t="s">
        <v>86</v>
      </c>
      <c r="E3" s="37" t="s">
        <v>87</v>
      </c>
    </row>
    <row r="4" spans="1:9" x14ac:dyDescent="0.2">
      <c r="A4" s="26">
        <v>1</v>
      </c>
      <c r="B4" s="3" t="s">
        <v>57</v>
      </c>
      <c r="C4" s="20">
        <v>57370</v>
      </c>
      <c r="D4" s="20">
        <v>126104</v>
      </c>
      <c r="E4" s="43">
        <f t="shared" ref="E4:E23" si="0">IFERROR((D4-C4)/C4,"n/a")</f>
        <v>1.1980826215792226</v>
      </c>
    </row>
    <row r="5" spans="1:9" x14ac:dyDescent="0.2">
      <c r="A5" s="27">
        <v>2</v>
      </c>
      <c r="B5" s="11" t="s">
        <v>59</v>
      </c>
      <c r="C5" s="21">
        <v>11782</v>
      </c>
      <c r="D5" s="21">
        <v>20035</v>
      </c>
      <c r="E5" s="44">
        <f t="shared" si="0"/>
        <v>0.70047530130707858</v>
      </c>
    </row>
    <row r="6" spans="1:9" x14ac:dyDescent="0.2">
      <c r="A6" s="26">
        <v>3</v>
      </c>
      <c r="B6" s="3" t="s">
        <v>60</v>
      </c>
      <c r="C6" s="20">
        <v>6336</v>
      </c>
      <c r="D6" s="20">
        <v>16812</v>
      </c>
      <c r="E6" s="43">
        <f t="shared" si="0"/>
        <v>1.6534090909090908</v>
      </c>
    </row>
    <row r="7" spans="1:9" x14ac:dyDescent="0.2">
      <c r="A7" s="27">
        <v>4</v>
      </c>
      <c r="B7" s="11" t="s">
        <v>61</v>
      </c>
      <c r="C7" s="21">
        <v>6374</v>
      </c>
      <c r="D7" s="21">
        <v>19658</v>
      </c>
      <c r="E7" s="44">
        <f t="shared" si="0"/>
        <v>2.0840916222152495</v>
      </c>
    </row>
    <row r="8" spans="1:9" x14ac:dyDescent="0.2">
      <c r="A8" s="26">
        <v>5</v>
      </c>
      <c r="B8" s="3" t="s">
        <v>62</v>
      </c>
      <c r="C8" s="20">
        <v>10359</v>
      </c>
      <c r="D8" s="20">
        <v>17995</v>
      </c>
      <c r="E8" s="43">
        <f t="shared" si="0"/>
        <v>0.73713678926537307</v>
      </c>
    </row>
    <row r="9" spans="1:9" x14ac:dyDescent="0.2">
      <c r="A9" s="27">
        <v>6</v>
      </c>
      <c r="B9" s="11" t="s">
        <v>63</v>
      </c>
      <c r="C9" s="21">
        <v>7150</v>
      </c>
      <c r="D9" s="21">
        <v>13549</v>
      </c>
      <c r="E9" s="44">
        <f t="shared" si="0"/>
        <v>0.89496503496503499</v>
      </c>
    </row>
    <row r="10" spans="1:9" x14ac:dyDescent="0.2">
      <c r="A10" s="26">
        <v>7</v>
      </c>
      <c r="B10" s="3" t="s">
        <v>65</v>
      </c>
      <c r="C10" s="20">
        <v>6050</v>
      </c>
      <c r="D10" s="20">
        <v>9406</v>
      </c>
      <c r="E10" s="43">
        <f t="shared" si="0"/>
        <v>0.55471074380165286</v>
      </c>
    </row>
    <row r="11" spans="1:9" x14ac:dyDescent="0.2">
      <c r="A11" s="27">
        <v>8</v>
      </c>
      <c r="B11" s="11" t="s">
        <v>66</v>
      </c>
      <c r="C11" s="21">
        <v>6547</v>
      </c>
      <c r="D11" s="21">
        <v>14596</v>
      </c>
      <c r="E11" s="44">
        <f t="shared" si="0"/>
        <v>1.2294180540705666</v>
      </c>
    </row>
    <row r="12" spans="1:9" x14ac:dyDescent="0.2">
      <c r="A12" s="26">
        <v>9</v>
      </c>
      <c r="B12" s="3" t="s">
        <v>67</v>
      </c>
      <c r="C12" s="20">
        <v>4361</v>
      </c>
      <c r="D12" s="20">
        <v>9395</v>
      </c>
      <c r="E12" s="43">
        <f t="shared" si="0"/>
        <v>1.1543224031185508</v>
      </c>
    </row>
    <row r="13" spans="1:9" x14ac:dyDescent="0.2">
      <c r="A13" s="27">
        <v>10</v>
      </c>
      <c r="B13" s="11" t="s">
        <v>68</v>
      </c>
      <c r="C13" s="21">
        <v>3644</v>
      </c>
      <c r="D13" s="21">
        <v>6289</v>
      </c>
      <c r="E13" s="44">
        <f t="shared" si="0"/>
        <v>0.72585071350164654</v>
      </c>
    </row>
    <row r="14" spans="1:9" x14ac:dyDescent="0.2">
      <c r="A14" s="26">
        <v>11</v>
      </c>
      <c r="B14" s="3" t="s">
        <v>69</v>
      </c>
      <c r="C14" s="20">
        <v>6083</v>
      </c>
      <c r="D14" s="20">
        <v>22847</v>
      </c>
      <c r="E14" s="43">
        <f t="shared" si="0"/>
        <v>2.755877034358047</v>
      </c>
    </row>
    <row r="15" spans="1:9" x14ac:dyDescent="0.2">
      <c r="A15" s="27">
        <v>12</v>
      </c>
      <c r="B15" s="11" t="s">
        <v>70</v>
      </c>
      <c r="C15" s="21">
        <v>3938</v>
      </c>
      <c r="D15" s="21">
        <v>11478</v>
      </c>
      <c r="E15" s="44">
        <f t="shared" si="0"/>
        <v>1.9146775012696799</v>
      </c>
    </row>
    <row r="16" spans="1:9" x14ac:dyDescent="0.2">
      <c r="A16" s="26">
        <v>13</v>
      </c>
      <c r="B16" s="3" t="s">
        <v>71</v>
      </c>
      <c r="C16" s="20">
        <v>1796</v>
      </c>
      <c r="D16" s="20">
        <v>3756</v>
      </c>
      <c r="E16" s="43">
        <f t="shared" si="0"/>
        <v>1.0913140311804008</v>
      </c>
    </row>
    <row r="17" spans="1:9" x14ac:dyDescent="0.2">
      <c r="A17" s="27">
        <v>14</v>
      </c>
      <c r="B17" s="11" t="s">
        <v>72</v>
      </c>
      <c r="C17" s="21">
        <v>1426</v>
      </c>
      <c r="D17" s="21">
        <v>4184</v>
      </c>
      <c r="E17" s="44">
        <f t="shared" si="0"/>
        <v>1.9340813464235624</v>
      </c>
    </row>
    <row r="18" spans="1:9" x14ac:dyDescent="0.2">
      <c r="A18" s="26">
        <v>15</v>
      </c>
      <c r="B18" s="3" t="s">
        <v>73</v>
      </c>
      <c r="C18" s="20">
        <v>1641</v>
      </c>
      <c r="D18" s="20">
        <v>3825</v>
      </c>
      <c r="E18" s="43">
        <f t="shared" si="0"/>
        <v>1.3308957952468008</v>
      </c>
    </row>
    <row r="19" spans="1:9" x14ac:dyDescent="0.2">
      <c r="A19" s="27">
        <v>16</v>
      </c>
      <c r="B19" s="11" t="s">
        <v>74</v>
      </c>
      <c r="C19" s="21">
        <v>1413</v>
      </c>
      <c r="D19" s="21">
        <v>4041</v>
      </c>
      <c r="E19" s="44">
        <f t="shared" si="0"/>
        <v>1.8598726114649682</v>
      </c>
    </row>
    <row r="20" spans="1:9" x14ac:dyDescent="0.2">
      <c r="A20" s="26">
        <v>17</v>
      </c>
      <c r="B20" s="3" t="s">
        <v>75</v>
      </c>
      <c r="C20" s="20">
        <v>4374</v>
      </c>
      <c r="D20" s="20">
        <v>8890</v>
      </c>
      <c r="E20" s="43">
        <f t="shared" si="0"/>
        <v>1.0324645633287608</v>
      </c>
    </row>
    <row r="21" spans="1:9" x14ac:dyDescent="0.2">
      <c r="A21" s="27">
        <v>18</v>
      </c>
      <c r="B21" s="11" t="s">
        <v>76</v>
      </c>
      <c r="C21" s="21">
        <v>1221</v>
      </c>
      <c r="D21" s="21">
        <v>2816</v>
      </c>
      <c r="E21" s="44">
        <f t="shared" si="0"/>
        <v>1.3063063063063063</v>
      </c>
    </row>
    <row r="22" spans="1:9" x14ac:dyDescent="0.2">
      <c r="A22" s="26">
        <v>19</v>
      </c>
      <c r="B22" s="3" t="s">
        <v>77</v>
      </c>
      <c r="C22" s="20">
        <v>616</v>
      </c>
      <c r="D22" s="20">
        <v>1144</v>
      </c>
      <c r="E22" s="43">
        <f t="shared" si="0"/>
        <v>0.8571428571428571</v>
      </c>
    </row>
    <row r="23" spans="1:9" x14ac:dyDescent="0.2">
      <c r="A23" s="30">
        <v>20</v>
      </c>
      <c r="B23" s="31" t="s">
        <v>78</v>
      </c>
      <c r="C23" s="45">
        <v>1128</v>
      </c>
      <c r="D23" s="45">
        <v>2026</v>
      </c>
      <c r="E23" s="46">
        <f t="shared" si="0"/>
        <v>0.79609929078014185</v>
      </c>
    </row>
    <row r="26" spans="1:9" x14ac:dyDescent="0.2">
      <c r="A26" s="59" t="s">
        <v>88</v>
      </c>
      <c r="B26" s="59"/>
      <c r="C26" s="59"/>
      <c r="D26" s="59"/>
      <c r="E26" s="59"/>
      <c r="F26" s="59"/>
      <c r="G26" s="59"/>
      <c r="H26" s="59"/>
      <c r="I26" s="59"/>
    </row>
  </sheetData>
  <mergeCells count="2">
    <mergeCell ref="A1:I1"/>
    <mergeCell ref="A26:I26"/>
  </mergeCells>
  <conditionalFormatting sqref="E4:E23">
    <cfRule type="cellIs" dxfId="5" priority="2" operator="lessThan">
      <formula>0</formula>
    </cfRule>
    <cfRule type="cellIs" dxfId="4" priority="3" operator="greaterThanOr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showGridLines="0" zoomScaleNormal="100" workbookViewId="0">
      <selection activeCell="L4" sqref="L4"/>
    </sheetView>
  </sheetViews>
  <sheetFormatPr baseColWidth="10" defaultColWidth="8.6640625" defaultRowHeight="15" x14ac:dyDescent="0.2"/>
  <cols>
    <col min="1" max="1" width="4.5" customWidth="1"/>
    <col min="2" max="2" width="30" customWidth="1"/>
    <col min="3" max="8" width="11" customWidth="1"/>
    <col min="9" max="9" width="13" customWidth="1"/>
  </cols>
  <sheetData>
    <row r="1" spans="1:9" ht="25.5" customHeight="1" x14ac:dyDescent="0.2">
      <c r="A1" s="58" t="s">
        <v>89</v>
      </c>
      <c r="B1" s="58"/>
      <c r="C1" s="58"/>
      <c r="D1" s="58"/>
      <c r="E1" s="58"/>
      <c r="F1" s="58"/>
      <c r="G1" s="58"/>
      <c r="H1" s="58"/>
      <c r="I1" s="58"/>
    </row>
    <row r="3" spans="1:9" ht="27.75" customHeight="1" x14ac:dyDescent="0.2">
      <c r="A3" s="35" t="s">
        <v>41</v>
      </c>
      <c r="B3" s="36" t="s">
        <v>42</v>
      </c>
      <c r="C3" s="36" t="s">
        <v>85</v>
      </c>
      <c r="D3" s="36" t="s">
        <v>86</v>
      </c>
      <c r="E3" s="37" t="s">
        <v>90</v>
      </c>
    </row>
    <row r="4" spans="1:9" x14ac:dyDescent="0.2">
      <c r="A4" s="26">
        <v>1</v>
      </c>
      <c r="B4" s="3" t="s">
        <v>57</v>
      </c>
      <c r="C4" s="22">
        <v>0.25</v>
      </c>
      <c r="D4" s="22">
        <v>0.25</v>
      </c>
      <c r="E4" s="43">
        <f t="shared" ref="E4:E23" si="0">IFERROR(D4-C4,"n/a")</f>
        <v>0</v>
      </c>
    </row>
    <row r="5" spans="1:9" x14ac:dyDescent="0.2">
      <c r="A5" s="27">
        <v>2</v>
      </c>
      <c r="B5" s="11" t="s">
        <v>59</v>
      </c>
      <c r="C5" s="23">
        <v>0.09</v>
      </c>
      <c r="D5" s="23">
        <v>0.08</v>
      </c>
      <c r="E5" s="44">
        <f t="shared" si="0"/>
        <v>-9.999999999999995E-3</v>
      </c>
    </row>
    <row r="6" spans="1:9" x14ac:dyDescent="0.2">
      <c r="A6" s="26">
        <v>3</v>
      </c>
      <c r="B6" s="3" t="s">
        <v>60</v>
      </c>
      <c r="C6" s="22">
        <v>0.16919999999999999</v>
      </c>
      <c r="D6" s="22">
        <v>0.12509999999999999</v>
      </c>
      <c r="E6" s="43">
        <f t="shared" si="0"/>
        <v>-4.41E-2</v>
      </c>
    </row>
    <row r="7" spans="1:9" x14ac:dyDescent="0.2">
      <c r="A7" s="27">
        <v>4</v>
      </c>
      <c r="B7" s="11" t="s">
        <v>61</v>
      </c>
      <c r="C7" s="23">
        <v>0.15</v>
      </c>
      <c r="D7" s="23">
        <v>0.13</v>
      </c>
      <c r="E7" s="44">
        <f t="shared" si="0"/>
        <v>-1.999999999999999E-2</v>
      </c>
    </row>
    <row r="8" spans="1:9" x14ac:dyDescent="0.2">
      <c r="A8" s="26">
        <v>5</v>
      </c>
      <c r="B8" s="3" t="s">
        <v>62</v>
      </c>
      <c r="C8" s="22">
        <v>0.08</v>
      </c>
      <c r="D8" s="22">
        <v>0.08</v>
      </c>
      <c r="E8" s="43">
        <f t="shared" si="0"/>
        <v>0</v>
      </c>
    </row>
    <row r="9" spans="1:9" x14ac:dyDescent="0.2">
      <c r="A9" s="27">
        <v>6</v>
      </c>
      <c r="B9" s="11" t="s">
        <v>63</v>
      </c>
      <c r="C9" s="23">
        <v>0.06</v>
      </c>
      <c r="D9" s="23">
        <v>0.06</v>
      </c>
      <c r="E9" s="44">
        <f t="shared" si="0"/>
        <v>0</v>
      </c>
    </row>
    <row r="10" spans="1:9" x14ac:dyDescent="0.2">
      <c r="A10" s="26">
        <v>7</v>
      </c>
      <c r="B10" s="3" t="s">
        <v>65</v>
      </c>
      <c r="C10" s="22">
        <v>0.14000000000000001</v>
      </c>
      <c r="D10" s="22">
        <v>0.12</v>
      </c>
      <c r="E10" s="43">
        <f t="shared" si="0"/>
        <v>-2.0000000000000018E-2</v>
      </c>
    </row>
    <row r="11" spans="1:9" x14ac:dyDescent="0.2">
      <c r="A11" s="27">
        <v>8</v>
      </c>
      <c r="B11" s="11" t="s">
        <v>66</v>
      </c>
      <c r="C11" s="23">
        <v>0.1</v>
      </c>
      <c r="D11" s="23">
        <v>0.08</v>
      </c>
      <c r="E11" s="44">
        <f t="shared" si="0"/>
        <v>-2.0000000000000004E-2</v>
      </c>
    </row>
    <row r="12" spans="1:9" x14ac:dyDescent="0.2">
      <c r="A12" s="26">
        <v>9</v>
      </c>
      <c r="B12" s="3" t="s">
        <v>67</v>
      </c>
      <c r="C12" s="22">
        <v>0.08</v>
      </c>
      <c r="D12" s="22">
        <v>0.06</v>
      </c>
      <c r="E12" s="43">
        <f t="shared" si="0"/>
        <v>-2.0000000000000004E-2</v>
      </c>
    </row>
    <row r="13" spans="1:9" x14ac:dyDescent="0.2">
      <c r="A13" s="27">
        <v>10</v>
      </c>
      <c r="B13" s="11" t="s">
        <v>68</v>
      </c>
      <c r="C13" s="23">
        <v>0.10979999999999999</v>
      </c>
      <c r="D13" s="23">
        <v>9.2999999999999999E-2</v>
      </c>
      <c r="E13" s="44">
        <f t="shared" si="0"/>
        <v>-1.6799999999999995E-2</v>
      </c>
    </row>
    <row r="14" spans="1:9" x14ac:dyDescent="0.2">
      <c r="A14" s="26">
        <v>11</v>
      </c>
      <c r="B14" s="3" t="s">
        <v>69</v>
      </c>
      <c r="C14" s="22">
        <v>0.12</v>
      </c>
      <c r="D14" s="22">
        <v>0.1</v>
      </c>
      <c r="E14" s="43">
        <f t="shared" si="0"/>
        <v>-1.999999999999999E-2</v>
      </c>
    </row>
    <row r="15" spans="1:9" x14ac:dyDescent="0.2">
      <c r="A15" s="27">
        <v>12</v>
      </c>
      <c r="B15" s="11" t="s">
        <v>70</v>
      </c>
      <c r="C15" s="23">
        <v>0.17</v>
      </c>
      <c r="D15" s="23">
        <v>0.17</v>
      </c>
      <c r="E15" s="44">
        <f t="shared" si="0"/>
        <v>0</v>
      </c>
    </row>
    <row r="16" spans="1:9" x14ac:dyDescent="0.2">
      <c r="A16" s="26">
        <v>13</v>
      </c>
      <c r="B16" s="3" t="s">
        <v>71</v>
      </c>
      <c r="C16" s="22">
        <v>0.1</v>
      </c>
      <c r="D16" s="22">
        <v>0.1</v>
      </c>
      <c r="E16" s="43">
        <f t="shared" si="0"/>
        <v>0</v>
      </c>
    </row>
    <row r="17" spans="1:9" x14ac:dyDescent="0.2">
      <c r="A17" s="27">
        <v>14</v>
      </c>
      <c r="B17" s="11" t="s">
        <v>72</v>
      </c>
      <c r="C17" s="23">
        <v>0.15</v>
      </c>
      <c r="D17" s="23">
        <v>0.11</v>
      </c>
      <c r="E17" s="44">
        <f t="shared" si="0"/>
        <v>-3.9999999999999994E-2</v>
      </c>
    </row>
    <row r="18" spans="1:9" x14ac:dyDescent="0.2">
      <c r="A18" s="26">
        <v>15</v>
      </c>
      <c r="B18" s="3" t="s">
        <v>73</v>
      </c>
      <c r="C18" s="22">
        <v>0.19</v>
      </c>
      <c r="D18" s="22">
        <v>0.23</v>
      </c>
      <c r="E18" s="43">
        <f t="shared" si="0"/>
        <v>4.0000000000000008E-2</v>
      </c>
    </row>
    <row r="19" spans="1:9" x14ac:dyDescent="0.2">
      <c r="A19" s="27">
        <v>16</v>
      </c>
      <c r="B19" s="11" t="s">
        <v>74</v>
      </c>
      <c r="C19" s="23">
        <v>0.12</v>
      </c>
      <c r="D19" s="23">
        <v>0.12</v>
      </c>
      <c r="E19" s="44">
        <f t="shared" si="0"/>
        <v>0</v>
      </c>
    </row>
    <row r="20" spans="1:9" x14ac:dyDescent="0.2">
      <c r="A20" s="26">
        <v>17</v>
      </c>
      <c r="B20" s="3" t="s">
        <v>75</v>
      </c>
      <c r="C20" s="22">
        <v>0.12</v>
      </c>
      <c r="D20" s="22">
        <v>0.11</v>
      </c>
      <c r="E20" s="43">
        <f t="shared" si="0"/>
        <v>-9.999999999999995E-3</v>
      </c>
    </row>
    <row r="21" spans="1:9" x14ac:dyDescent="0.2">
      <c r="A21" s="27">
        <v>18</v>
      </c>
      <c r="B21" s="11" t="s">
        <v>76</v>
      </c>
      <c r="C21" s="23">
        <v>0.14000000000000001</v>
      </c>
      <c r="D21" s="23">
        <v>0.14000000000000001</v>
      </c>
      <c r="E21" s="44">
        <f t="shared" si="0"/>
        <v>0</v>
      </c>
    </row>
    <row r="22" spans="1:9" x14ac:dyDescent="0.2">
      <c r="A22" s="26">
        <v>19</v>
      </c>
      <c r="B22" s="3" t="s">
        <v>77</v>
      </c>
      <c r="C22" s="22">
        <v>8.4199999999999997E-2</v>
      </c>
      <c r="D22" s="22">
        <v>6.3E-2</v>
      </c>
      <c r="E22" s="43">
        <f t="shared" si="0"/>
        <v>-2.1199999999999997E-2</v>
      </c>
    </row>
    <row r="23" spans="1:9" x14ac:dyDescent="0.2">
      <c r="A23" s="30">
        <v>20</v>
      </c>
      <c r="B23" s="31" t="s">
        <v>78</v>
      </c>
      <c r="C23" s="47">
        <v>0.14599999999999999</v>
      </c>
      <c r="D23" s="47">
        <v>0.20050000000000001</v>
      </c>
      <c r="E23" s="46">
        <f t="shared" si="0"/>
        <v>5.4500000000000021E-2</v>
      </c>
    </row>
    <row r="26" spans="1:9" x14ac:dyDescent="0.2">
      <c r="A26" s="59" t="s">
        <v>88</v>
      </c>
      <c r="B26" s="59"/>
      <c r="C26" s="59"/>
      <c r="D26" s="59"/>
      <c r="E26" s="59"/>
      <c r="F26" s="59"/>
      <c r="G26" s="59"/>
      <c r="H26" s="59"/>
      <c r="I26" s="59"/>
    </row>
    <row r="27" spans="1:9" x14ac:dyDescent="0.2">
      <c r="A27" s="59" t="s">
        <v>91</v>
      </c>
      <c r="B27" s="59"/>
      <c r="C27" s="59"/>
      <c r="D27" s="59"/>
      <c r="E27" s="59"/>
      <c r="F27" s="59"/>
      <c r="G27" s="59"/>
      <c r="H27" s="59"/>
      <c r="I27" s="59"/>
    </row>
  </sheetData>
  <mergeCells count="3">
    <mergeCell ref="A1:I1"/>
    <mergeCell ref="A26:I26"/>
    <mergeCell ref="A27:I27"/>
  </mergeCells>
  <conditionalFormatting sqref="E4:E23">
    <cfRule type="cellIs" dxfId="3" priority="2" operator="lessThan">
      <formula>0</formula>
    </cfRule>
    <cfRule type="cellIs" dxfId="2" priority="3" operator="greaterThanOr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showGridLines="0" zoomScaleNormal="100" workbookViewId="0">
      <selection activeCell="A4" sqref="A4"/>
    </sheetView>
  </sheetViews>
  <sheetFormatPr baseColWidth="10" defaultColWidth="8.6640625" defaultRowHeight="15" x14ac:dyDescent="0.2"/>
  <cols>
    <col min="1" max="1" width="4.5" customWidth="1"/>
    <col min="2" max="2" width="30" customWidth="1"/>
    <col min="3" max="4" width="11" customWidth="1"/>
    <col min="5" max="5" width="15.83203125" customWidth="1"/>
    <col min="6" max="8" width="11" customWidth="1"/>
    <col min="9" max="9" width="13" customWidth="1"/>
  </cols>
  <sheetData>
    <row r="1" spans="1:9" ht="25.5" customHeight="1" x14ac:dyDescent="0.2">
      <c r="A1" s="58" t="s">
        <v>92</v>
      </c>
      <c r="B1" s="58"/>
      <c r="C1" s="58"/>
      <c r="D1" s="58"/>
      <c r="E1" s="58"/>
      <c r="F1" s="58"/>
      <c r="G1" s="58"/>
      <c r="H1" s="58"/>
      <c r="I1" s="58"/>
    </row>
    <row r="3" spans="1:9" ht="28" x14ac:dyDescent="0.2">
      <c r="A3" s="35" t="s">
        <v>41</v>
      </c>
      <c r="B3" s="36" t="s">
        <v>42</v>
      </c>
      <c r="C3" s="36" t="s">
        <v>85</v>
      </c>
      <c r="D3" s="36" t="s">
        <v>86</v>
      </c>
      <c r="E3" s="37" t="s">
        <v>87</v>
      </c>
    </row>
    <row r="4" spans="1:9" x14ac:dyDescent="0.2">
      <c r="A4" s="26">
        <v>1</v>
      </c>
      <c r="B4" s="3" t="s">
        <v>57</v>
      </c>
      <c r="C4" s="20">
        <v>1569</v>
      </c>
      <c r="D4" s="20">
        <v>4086</v>
      </c>
      <c r="E4" s="43">
        <f t="shared" ref="E4:E23" si="0">IFERROR(IF(C4&lt;=0,"n/a (loss base yr)",(D4-C4)/C4),"n/a")</f>
        <v>1.6042065009560229</v>
      </c>
    </row>
    <row r="5" spans="1:9" x14ac:dyDescent="0.2">
      <c r="A5" s="27">
        <v>2</v>
      </c>
      <c r="B5" s="11" t="s">
        <v>59</v>
      </c>
      <c r="C5" s="21">
        <v>1218</v>
      </c>
      <c r="D5" s="21">
        <v>2773</v>
      </c>
      <c r="E5" s="44">
        <f t="shared" si="0"/>
        <v>1.2766830870279147</v>
      </c>
    </row>
    <row r="6" spans="1:9" x14ac:dyDescent="0.2">
      <c r="A6" s="26">
        <v>3</v>
      </c>
      <c r="B6" s="3" t="s">
        <v>60</v>
      </c>
      <c r="C6" s="20">
        <v>-127</v>
      </c>
      <c r="D6" s="20">
        <v>1089</v>
      </c>
      <c r="E6" s="43" t="str">
        <f t="shared" si="0"/>
        <v>n/a (loss base yr)</v>
      </c>
    </row>
    <row r="7" spans="1:9" x14ac:dyDescent="0.2">
      <c r="A7" s="27">
        <v>4</v>
      </c>
      <c r="B7" s="11" t="s">
        <v>61</v>
      </c>
      <c r="C7" s="21">
        <v>248</v>
      </c>
      <c r="D7" s="21">
        <v>1284</v>
      </c>
      <c r="E7" s="44">
        <f t="shared" si="0"/>
        <v>4.17741935483871</v>
      </c>
    </row>
    <row r="8" spans="1:9" x14ac:dyDescent="0.2">
      <c r="A8" s="26">
        <v>5</v>
      </c>
      <c r="B8" s="3" t="s">
        <v>62</v>
      </c>
      <c r="C8" s="20">
        <v>803</v>
      </c>
      <c r="D8" s="20">
        <v>860</v>
      </c>
      <c r="E8" s="43">
        <f t="shared" si="0"/>
        <v>7.0983810709838113E-2</v>
      </c>
    </row>
    <row r="9" spans="1:9" x14ac:dyDescent="0.2">
      <c r="A9" s="27">
        <v>6</v>
      </c>
      <c r="B9" s="11" t="s">
        <v>63</v>
      </c>
      <c r="C9" s="21">
        <v>647</v>
      </c>
      <c r="D9" s="21">
        <v>970</v>
      </c>
      <c r="E9" s="44">
        <f t="shared" si="0"/>
        <v>0.4992272024729521</v>
      </c>
    </row>
    <row r="10" spans="1:9" x14ac:dyDescent="0.2">
      <c r="A10" s="26">
        <v>7</v>
      </c>
      <c r="B10" s="3" t="s">
        <v>65</v>
      </c>
      <c r="C10" s="20">
        <v>106</v>
      </c>
      <c r="D10" s="20">
        <v>828</v>
      </c>
      <c r="E10" s="43">
        <f t="shared" si="0"/>
        <v>6.8113207547169807</v>
      </c>
    </row>
    <row r="11" spans="1:9" x14ac:dyDescent="0.2">
      <c r="A11" s="27">
        <v>8</v>
      </c>
      <c r="B11" s="11" t="s">
        <v>66</v>
      </c>
      <c r="C11" s="21">
        <v>520</v>
      </c>
      <c r="D11" s="21">
        <v>952</v>
      </c>
      <c r="E11" s="44">
        <f t="shared" si="0"/>
        <v>0.83076923076923082</v>
      </c>
    </row>
    <row r="12" spans="1:9" x14ac:dyDescent="0.2">
      <c r="A12" s="26">
        <v>9</v>
      </c>
      <c r="B12" s="3" t="s">
        <v>67</v>
      </c>
      <c r="C12" s="20">
        <v>368</v>
      </c>
      <c r="D12" s="20">
        <v>1196</v>
      </c>
      <c r="E12" s="43">
        <f t="shared" si="0"/>
        <v>2.25</v>
      </c>
    </row>
    <row r="13" spans="1:9" x14ac:dyDescent="0.2">
      <c r="A13" s="27">
        <v>10</v>
      </c>
      <c r="B13" s="11" t="s">
        <v>68</v>
      </c>
      <c r="C13" s="21">
        <v>363</v>
      </c>
      <c r="D13" s="21">
        <v>593</v>
      </c>
      <c r="E13" s="44">
        <f t="shared" si="0"/>
        <v>0.63360881542699721</v>
      </c>
    </row>
    <row r="14" spans="1:9" x14ac:dyDescent="0.2">
      <c r="A14" s="26">
        <v>11</v>
      </c>
      <c r="B14" s="3" t="s">
        <v>69</v>
      </c>
      <c r="C14" s="20">
        <v>286</v>
      </c>
      <c r="D14" s="20">
        <v>1118</v>
      </c>
      <c r="E14" s="43">
        <f t="shared" si="0"/>
        <v>2.9090909090909092</v>
      </c>
    </row>
    <row r="15" spans="1:9" x14ac:dyDescent="0.2">
      <c r="A15" s="27">
        <v>12</v>
      </c>
      <c r="B15" s="11" t="s">
        <v>70</v>
      </c>
      <c r="C15" s="21">
        <v>396</v>
      </c>
      <c r="D15" s="21">
        <v>625</v>
      </c>
      <c r="E15" s="44">
        <f t="shared" si="0"/>
        <v>0.57828282828282829</v>
      </c>
    </row>
    <row r="16" spans="1:9" x14ac:dyDescent="0.2">
      <c r="A16" s="26">
        <v>13</v>
      </c>
      <c r="B16" s="3" t="s">
        <v>71</v>
      </c>
      <c r="C16" s="20">
        <v>47</v>
      </c>
      <c r="D16" s="20">
        <v>166</v>
      </c>
      <c r="E16" s="43">
        <f t="shared" si="0"/>
        <v>2.5319148936170213</v>
      </c>
    </row>
    <row r="17" spans="1:9" x14ac:dyDescent="0.2">
      <c r="A17" s="27">
        <v>14</v>
      </c>
      <c r="B17" s="11" t="s">
        <v>72</v>
      </c>
      <c r="C17" s="21">
        <v>18</v>
      </c>
      <c r="D17" s="21">
        <v>172</v>
      </c>
      <c r="E17" s="44">
        <f t="shared" si="0"/>
        <v>8.5555555555555554</v>
      </c>
    </row>
    <row r="18" spans="1:9" x14ac:dyDescent="0.2">
      <c r="A18" s="26">
        <v>15</v>
      </c>
      <c r="B18" s="3" t="s">
        <v>73</v>
      </c>
      <c r="C18" s="20">
        <v>143</v>
      </c>
      <c r="D18" s="20">
        <v>183</v>
      </c>
      <c r="E18" s="43">
        <f t="shared" si="0"/>
        <v>0.27972027972027974</v>
      </c>
    </row>
    <row r="19" spans="1:9" x14ac:dyDescent="0.2">
      <c r="A19" s="27">
        <v>16</v>
      </c>
      <c r="B19" s="11" t="s">
        <v>74</v>
      </c>
      <c r="C19" s="21">
        <v>42</v>
      </c>
      <c r="D19" s="21">
        <v>251</v>
      </c>
      <c r="E19" s="44">
        <f t="shared" si="0"/>
        <v>4.9761904761904763</v>
      </c>
    </row>
    <row r="20" spans="1:9" x14ac:dyDescent="0.2">
      <c r="A20" s="26">
        <v>17</v>
      </c>
      <c r="B20" s="3" t="s">
        <v>75</v>
      </c>
      <c r="C20" s="20">
        <v>-629</v>
      </c>
      <c r="D20" s="20">
        <v>230</v>
      </c>
      <c r="E20" s="43" t="str">
        <f t="shared" si="0"/>
        <v>n/a (loss base yr)</v>
      </c>
    </row>
    <row r="21" spans="1:9" x14ac:dyDescent="0.2">
      <c r="A21" s="27">
        <v>18</v>
      </c>
      <c r="B21" s="11" t="s">
        <v>76</v>
      </c>
      <c r="C21" s="21">
        <v>47</v>
      </c>
      <c r="D21" s="21">
        <v>256</v>
      </c>
      <c r="E21" s="44">
        <f t="shared" si="0"/>
        <v>4.4468085106382977</v>
      </c>
    </row>
    <row r="22" spans="1:9" x14ac:dyDescent="0.2">
      <c r="A22" s="26">
        <v>19</v>
      </c>
      <c r="B22" s="3" t="s">
        <v>77</v>
      </c>
      <c r="C22" s="20">
        <v>87</v>
      </c>
      <c r="D22" s="20">
        <v>141</v>
      </c>
      <c r="E22" s="43">
        <f t="shared" si="0"/>
        <v>0.62068965517241381</v>
      </c>
    </row>
    <row r="23" spans="1:9" x14ac:dyDescent="0.2">
      <c r="A23" s="30">
        <v>20</v>
      </c>
      <c r="B23" s="31" t="s">
        <v>78</v>
      </c>
      <c r="C23" s="45">
        <v>-48</v>
      </c>
      <c r="D23" s="45">
        <v>252</v>
      </c>
      <c r="E23" s="46" t="str">
        <f t="shared" si="0"/>
        <v>n/a (loss base yr)</v>
      </c>
    </row>
    <row r="26" spans="1:9" x14ac:dyDescent="0.2">
      <c r="A26" s="59" t="s">
        <v>88</v>
      </c>
      <c r="B26" s="59"/>
      <c r="C26" s="59"/>
      <c r="D26" s="59"/>
      <c r="E26" s="59"/>
      <c r="F26" s="59"/>
      <c r="G26" s="59"/>
      <c r="H26" s="59"/>
      <c r="I26" s="59"/>
    </row>
  </sheetData>
  <mergeCells count="2">
    <mergeCell ref="A1:I1"/>
    <mergeCell ref="A26:I26"/>
  </mergeCells>
  <conditionalFormatting sqref="E4:E23">
    <cfRule type="cellIs" dxfId="1" priority="2" operator="lessThan">
      <formula>0</formula>
    </cfRule>
    <cfRule type="cellIs" dxfId="0" priority="3" operator="greaterThanOr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3"/>
  <sheetViews>
    <sheetView showGridLines="0" zoomScaleNormal="100" workbookViewId="0">
      <selection activeCell="L4" sqref="L4"/>
    </sheetView>
  </sheetViews>
  <sheetFormatPr baseColWidth="10" defaultColWidth="8.6640625" defaultRowHeight="15" x14ac:dyDescent="0.2"/>
  <cols>
    <col min="1" max="1" width="4.5" customWidth="1"/>
    <col min="2" max="2" width="30" customWidth="1"/>
    <col min="3" max="3" width="12" customWidth="1"/>
    <col min="4" max="4" width="13" customWidth="1"/>
    <col min="5" max="5" width="12" customWidth="1"/>
    <col min="6" max="6" width="26" customWidth="1"/>
  </cols>
  <sheetData>
    <row r="1" spans="1:6" ht="25.5" customHeight="1" x14ac:dyDescent="0.2">
      <c r="A1" s="58" t="s">
        <v>93</v>
      </c>
      <c r="B1" s="58"/>
      <c r="C1" s="58"/>
      <c r="D1" s="58"/>
      <c r="E1" s="58"/>
      <c r="F1" s="58"/>
    </row>
    <row r="3" spans="1:6" ht="30" customHeight="1" x14ac:dyDescent="0.2">
      <c r="A3" s="35" t="s">
        <v>41</v>
      </c>
      <c r="B3" s="36" t="s">
        <v>42</v>
      </c>
      <c r="C3" s="36" t="s">
        <v>94</v>
      </c>
      <c r="D3" s="36" t="s">
        <v>95</v>
      </c>
      <c r="E3" s="36" t="s">
        <v>55</v>
      </c>
      <c r="F3" s="37" t="s">
        <v>96</v>
      </c>
    </row>
    <row r="4" spans="1:6" x14ac:dyDescent="0.2">
      <c r="A4" s="26">
        <v>1</v>
      </c>
      <c r="B4" s="3" t="s">
        <v>57</v>
      </c>
      <c r="C4" s="5">
        <v>37732</v>
      </c>
      <c r="D4" s="5">
        <v>90154</v>
      </c>
      <c r="E4" s="9">
        <f t="shared" ref="E4:E23" si="0">IFERROR(SUM(C4:D4),"n/a")</f>
        <v>127886</v>
      </c>
      <c r="F4" s="28" t="s">
        <v>97</v>
      </c>
    </row>
    <row r="5" spans="1:6" x14ac:dyDescent="0.2">
      <c r="A5" s="27">
        <v>2</v>
      </c>
      <c r="B5" s="11" t="s">
        <v>59</v>
      </c>
      <c r="C5" s="13">
        <v>38655</v>
      </c>
      <c r="D5" s="13" t="s">
        <v>98</v>
      </c>
      <c r="E5" s="17">
        <f t="shared" si="0"/>
        <v>38655</v>
      </c>
      <c r="F5" s="29" t="s">
        <v>97</v>
      </c>
    </row>
    <row r="6" spans="1:6" x14ac:dyDescent="0.2">
      <c r="A6" s="26">
        <v>3</v>
      </c>
      <c r="B6" s="3" t="s">
        <v>60</v>
      </c>
      <c r="C6" s="5">
        <v>2948</v>
      </c>
      <c r="D6" s="5">
        <v>6545</v>
      </c>
      <c r="E6" s="9">
        <f t="shared" si="0"/>
        <v>9493</v>
      </c>
      <c r="F6" s="28" t="s">
        <v>97</v>
      </c>
    </row>
    <row r="7" spans="1:6" ht="29" x14ac:dyDescent="0.2">
      <c r="A7" s="27">
        <v>4</v>
      </c>
      <c r="B7" s="11" t="s">
        <v>61</v>
      </c>
      <c r="C7" s="13">
        <v>3289</v>
      </c>
      <c r="D7" s="13">
        <v>16216</v>
      </c>
      <c r="E7" s="17">
        <f t="shared" si="0"/>
        <v>19505</v>
      </c>
      <c r="F7" s="29" t="s">
        <v>99</v>
      </c>
    </row>
    <row r="8" spans="1:6" ht="43" x14ac:dyDescent="0.2">
      <c r="A8" s="26">
        <v>5</v>
      </c>
      <c r="B8" s="3" t="s">
        <v>62</v>
      </c>
      <c r="C8" s="5">
        <v>4199</v>
      </c>
      <c r="D8" s="5">
        <v>14761</v>
      </c>
      <c r="E8" s="9">
        <f t="shared" si="0"/>
        <v>18960</v>
      </c>
      <c r="F8" s="28" t="s">
        <v>100</v>
      </c>
    </row>
    <row r="9" spans="1:6" x14ac:dyDescent="0.2">
      <c r="A9" s="27">
        <v>6</v>
      </c>
      <c r="B9" s="11" t="s">
        <v>63</v>
      </c>
      <c r="C9" s="13">
        <v>2632</v>
      </c>
      <c r="D9" s="13">
        <v>7608</v>
      </c>
      <c r="E9" s="17">
        <f t="shared" si="0"/>
        <v>10240</v>
      </c>
      <c r="F9" s="29" t="s">
        <v>97</v>
      </c>
    </row>
    <row r="10" spans="1:6" ht="43" x14ac:dyDescent="0.2">
      <c r="A10" s="26">
        <v>7</v>
      </c>
      <c r="B10" s="3" t="s">
        <v>65</v>
      </c>
      <c r="C10" s="5">
        <v>1640</v>
      </c>
      <c r="D10" s="5">
        <v>8271</v>
      </c>
      <c r="E10" s="9">
        <f t="shared" si="0"/>
        <v>9911</v>
      </c>
      <c r="F10" s="28" t="s">
        <v>101</v>
      </c>
    </row>
    <row r="11" spans="1:6" ht="43" x14ac:dyDescent="0.2">
      <c r="A11" s="27">
        <v>8</v>
      </c>
      <c r="B11" s="11" t="s">
        <v>66</v>
      </c>
      <c r="C11" s="13">
        <v>2134</v>
      </c>
      <c r="D11" s="13">
        <v>13006</v>
      </c>
      <c r="E11" s="17">
        <f t="shared" si="0"/>
        <v>15140</v>
      </c>
      <c r="F11" s="29" t="s">
        <v>102</v>
      </c>
    </row>
    <row r="12" spans="1:6" ht="43" x14ac:dyDescent="0.2">
      <c r="A12" s="26">
        <v>9</v>
      </c>
      <c r="B12" s="3" t="s">
        <v>67</v>
      </c>
      <c r="C12" s="5">
        <v>3605</v>
      </c>
      <c r="D12" s="5" t="s">
        <v>98</v>
      </c>
      <c r="E12" s="9">
        <f t="shared" si="0"/>
        <v>3605</v>
      </c>
      <c r="F12" s="28" t="s">
        <v>103</v>
      </c>
    </row>
    <row r="13" spans="1:6" x14ac:dyDescent="0.2">
      <c r="A13" s="27">
        <v>10</v>
      </c>
      <c r="B13" s="11" t="s">
        <v>68</v>
      </c>
      <c r="C13" s="13">
        <v>2043</v>
      </c>
      <c r="D13" s="13">
        <v>7655</v>
      </c>
      <c r="E13" s="17">
        <f t="shared" si="0"/>
        <v>9698</v>
      </c>
      <c r="F13" s="29" t="s">
        <v>104</v>
      </c>
    </row>
    <row r="14" spans="1:6" ht="43" x14ac:dyDescent="0.2">
      <c r="A14" s="26">
        <v>11</v>
      </c>
      <c r="B14" s="3" t="s">
        <v>69</v>
      </c>
      <c r="C14" s="5">
        <v>1874</v>
      </c>
      <c r="D14" s="5">
        <v>14203</v>
      </c>
      <c r="E14" s="9">
        <f t="shared" si="0"/>
        <v>16077</v>
      </c>
      <c r="F14" s="28" t="s">
        <v>105</v>
      </c>
    </row>
    <row r="15" spans="1:6" ht="43" x14ac:dyDescent="0.2">
      <c r="A15" s="27">
        <v>12</v>
      </c>
      <c r="B15" s="11" t="s">
        <v>70</v>
      </c>
      <c r="C15" s="13">
        <v>4305</v>
      </c>
      <c r="D15" s="13">
        <v>49327</v>
      </c>
      <c r="E15" s="17">
        <f t="shared" si="0"/>
        <v>53632</v>
      </c>
      <c r="F15" s="29" t="s">
        <v>106</v>
      </c>
    </row>
    <row r="16" spans="1:6" x14ac:dyDescent="0.2">
      <c r="A16" s="26">
        <v>13</v>
      </c>
      <c r="B16" s="3" t="s">
        <v>71</v>
      </c>
      <c r="C16" s="5">
        <v>1269</v>
      </c>
      <c r="D16" s="5">
        <v>4741</v>
      </c>
      <c r="E16" s="9">
        <f t="shared" si="0"/>
        <v>6010</v>
      </c>
      <c r="F16" s="28" t="s">
        <v>97</v>
      </c>
    </row>
    <row r="17" spans="1:6" x14ac:dyDescent="0.2">
      <c r="A17" s="27">
        <v>14</v>
      </c>
      <c r="B17" s="11" t="s">
        <v>72</v>
      </c>
      <c r="C17" s="13">
        <v>1504</v>
      </c>
      <c r="D17" s="13">
        <v>5605</v>
      </c>
      <c r="E17" s="17">
        <f t="shared" si="0"/>
        <v>7109</v>
      </c>
      <c r="F17" s="29" t="s">
        <v>97</v>
      </c>
    </row>
    <row r="18" spans="1:6" ht="43" x14ac:dyDescent="0.2">
      <c r="A18" s="26">
        <v>15</v>
      </c>
      <c r="B18" s="3" t="s">
        <v>73</v>
      </c>
      <c r="C18" s="5">
        <v>1143</v>
      </c>
      <c r="D18" s="5">
        <v>1045</v>
      </c>
      <c r="E18" s="9">
        <f t="shared" si="0"/>
        <v>2188</v>
      </c>
      <c r="F18" s="28" t="s">
        <v>107</v>
      </c>
    </row>
    <row r="19" spans="1:6" ht="43" x14ac:dyDescent="0.2">
      <c r="A19" s="27">
        <v>16</v>
      </c>
      <c r="B19" s="11" t="s">
        <v>74</v>
      </c>
      <c r="C19" s="13">
        <v>1181</v>
      </c>
      <c r="D19" s="13">
        <v>4782</v>
      </c>
      <c r="E19" s="17">
        <f t="shared" si="0"/>
        <v>5963</v>
      </c>
      <c r="F19" s="29" t="s">
        <v>108</v>
      </c>
    </row>
    <row r="20" spans="1:6" ht="57" x14ac:dyDescent="0.2">
      <c r="A20" s="26">
        <v>17</v>
      </c>
      <c r="B20" s="3" t="s">
        <v>75</v>
      </c>
      <c r="C20" s="5">
        <v>3358</v>
      </c>
      <c r="D20" s="5">
        <v>24245</v>
      </c>
      <c r="E20" s="9">
        <f t="shared" si="0"/>
        <v>27603</v>
      </c>
      <c r="F20" s="28" t="s">
        <v>109</v>
      </c>
    </row>
    <row r="21" spans="1:6" ht="43" x14ac:dyDescent="0.2">
      <c r="A21" s="27">
        <v>18</v>
      </c>
      <c r="B21" s="11" t="s">
        <v>76</v>
      </c>
      <c r="C21" s="13">
        <v>1220</v>
      </c>
      <c r="D21" s="13">
        <v>7382</v>
      </c>
      <c r="E21" s="17">
        <f t="shared" si="0"/>
        <v>8602</v>
      </c>
      <c r="F21" s="29" t="s">
        <v>110</v>
      </c>
    </row>
    <row r="22" spans="1:6" ht="43" x14ac:dyDescent="0.2">
      <c r="A22" s="26">
        <v>19</v>
      </c>
      <c r="B22" s="3" t="s">
        <v>77</v>
      </c>
      <c r="C22" s="5">
        <v>96</v>
      </c>
      <c r="D22" s="5">
        <v>2485</v>
      </c>
      <c r="E22" s="9">
        <f t="shared" si="0"/>
        <v>2581</v>
      </c>
      <c r="F22" s="28" t="s">
        <v>111</v>
      </c>
    </row>
    <row r="23" spans="1:6" ht="57" x14ac:dyDescent="0.2">
      <c r="A23" s="30">
        <v>20</v>
      </c>
      <c r="B23" s="31" t="s">
        <v>78</v>
      </c>
      <c r="C23" s="32">
        <v>615</v>
      </c>
      <c r="D23" s="32">
        <v>2227</v>
      </c>
      <c r="E23" s="33">
        <f t="shared" si="0"/>
        <v>2842</v>
      </c>
      <c r="F23" s="34" t="s">
        <v>112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8"/>
  <sheetViews>
    <sheetView showGridLines="0" zoomScaleNormal="100" workbookViewId="0">
      <selection activeCell="L4" sqref="L4"/>
    </sheetView>
  </sheetViews>
  <sheetFormatPr baseColWidth="10" defaultColWidth="8.6640625" defaultRowHeight="15" x14ac:dyDescent="0.2"/>
  <cols>
    <col min="1" max="1" width="24" customWidth="1"/>
    <col min="2" max="2" width="65" customWidth="1"/>
    <col min="3" max="3" width="45" customWidth="1"/>
  </cols>
  <sheetData>
    <row r="1" spans="1:3" ht="25.5" customHeight="1" x14ac:dyDescent="0.2">
      <c r="A1" s="58" t="s">
        <v>113</v>
      </c>
      <c r="B1" s="58"/>
      <c r="C1" s="58"/>
    </row>
    <row r="3" spans="1:3" x14ac:dyDescent="0.2">
      <c r="A3" s="55" t="s">
        <v>42</v>
      </c>
      <c r="B3" s="56" t="s">
        <v>114</v>
      </c>
      <c r="C3" s="57" t="s">
        <v>115</v>
      </c>
    </row>
    <row r="4" spans="1:3" ht="54.75" customHeight="1" x14ac:dyDescent="0.2">
      <c r="A4" s="48" t="s">
        <v>116</v>
      </c>
      <c r="B4" s="24" t="s">
        <v>117</v>
      </c>
      <c r="C4" s="50" t="s">
        <v>118</v>
      </c>
    </row>
    <row r="5" spans="1:3" ht="54.75" customHeight="1" x14ac:dyDescent="0.2">
      <c r="A5" s="49" t="s">
        <v>60</v>
      </c>
      <c r="B5" s="25" t="s">
        <v>119</v>
      </c>
      <c r="C5" s="51" t="s">
        <v>120</v>
      </c>
    </row>
    <row r="6" spans="1:3" ht="54.75" customHeight="1" x14ac:dyDescent="0.2">
      <c r="A6" s="48" t="s">
        <v>121</v>
      </c>
      <c r="B6" s="24" t="s">
        <v>122</v>
      </c>
      <c r="C6" s="50" t="s">
        <v>123</v>
      </c>
    </row>
    <row r="7" spans="1:3" ht="54.75" customHeight="1" x14ac:dyDescent="0.2">
      <c r="A7" s="49" t="s">
        <v>62</v>
      </c>
      <c r="B7" s="25" t="s">
        <v>124</v>
      </c>
      <c r="C7" s="51" t="s">
        <v>125</v>
      </c>
    </row>
    <row r="8" spans="1:3" ht="54.75" customHeight="1" x14ac:dyDescent="0.2">
      <c r="A8" s="48" t="s">
        <v>63</v>
      </c>
      <c r="B8" s="24" t="s">
        <v>126</v>
      </c>
      <c r="C8" s="50" t="s">
        <v>127</v>
      </c>
    </row>
    <row r="9" spans="1:3" ht="54.75" customHeight="1" x14ac:dyDescent="0.2">
      <c r="A9" s="49" t="s">
        <v>65</v>
      </c>
      <c r="B9" s="25" t="s">
        <v>128</v>
      </c>
      <c r="C9" s="51" t="s">
        <v>129</v>
      </c>
    </row>
    <row r="10" spans="1:3" ht="54.75" customHeight="1" x14ac:dyDescent="0.2">
      <c r="A10" s="48" t="s">
        <v>66</v>
      </c>
      <c r="B10" s="24" t="s">
        <v>130</v>
      </c>
      <c r="C10" s="50" t="s">
        <v>131</v>
      </c>
    </row>
    <row r="11" spans="1:3" ht="54.75" customHeight="1" x14ac:dyDescent="0.2">
      <c r="A11" s="49" t="s">
        <v>67</v>
      </c>
      <c r="B11" s="25" t="s">
        <v>132</v>
      </c>
      <c r="C11" s="51" t="s">
        <v>133</v>
      </c>
    </row>
    <row r="12" spans="1:3" ht="54.75" customHeight="1" x14ac:dyDescent="0.2">
      <c r="A12" s="48" t="s">
        <v>70</v>
      </c>
      <c r="B12" s="24" t="s">
        <v>134</v>
      </c>
      <c r="C12" s="50" t="s">
        <v>135</v>
      </c>
    </row>
    <row r="13" spans="1:3" ht="54.75" customHeight="1" x14ac:dyDescent="0.2">
      <c r="A13" s="49" t="s">
        <v>73</v>
      </c>
      <c r="B13" s="25" t="s">
        <v>136</v>
      </c>
      <c r="C13" s="51" t="s">
        <v>137</v>
      </c>
    </row>
    <row r="14" spans="1:3" ht="54.75" customHeight="1" x14ac:dyDescent="0.2">
      <c r="A14" s="48" t="s">
        <v>75</v>
      </c>
      <c r="B14" s="24" t="s">
        <v>138</v>
      </c>
      <c r="C14" s="50" t="s">
        <v>139</v>
      </c>
    </row>
    <row r="15" spans="1:3" ht="54.75" customHeight="1" x14ac:dyDescent="0.2">
      <c r="A15" s="49" t="s">
        <v>76</v>
      </c>
      <c r="B15" s="25" t="s">
        <v>140</v>
      </c>
      <c r="C15" s="51" t="s">
        <v>141</v>
      </c>
    </row>
    <row r="16" spans="1:3" ht="54.75" customHeight="1" x14ac:dyDescent="0.2">
      <c r="A16" s="48" t="s">
        <v>77</v>
      </c>
      <c r="B16" s="24" t="s">
        <v>142</v>
      </c>
      <c r="C16" s="50" t="s">
        <v>143</v>
      </c>
    </row>
    <row r="17" spans="1:3" ht="54.75" customHeight="1" x14ac:dyDescent="0.2">
      <c r="A17" s="49" t="s">
        <v>78</v>
      </c>
      <c r="B17" s="25" t="s">
        <v>144</v>
      </c>
      <c r="C17" s="51" t="s">
        <v>145</v>
      </c>
    </row>
    <row r="18" spans="1:3" ht="54.75" customHeight="1" x14ac:dyDescent="0.2">
      <c r="A18" s="52" t="s">
        <v>146</v>
      </c>
      <c r="B18" s="53" t="s">
        <v>147</v>
      </c>
      <c r="C18" s="54" t="s">
        <v>148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Dashboard</vt:lpstr>
      <vt:lpstr>Revenue Trend</vt:lpstr>
      <vt:lpstr>Employee Cost % Trend</vt:lpstr>
      <vt:lpstr>Net Profit Trend</vt:lpstr>
      <vt:lpstr>Workforce Detail</vt:lpstr>
      <vt:lpstr>Notes &amp; 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vyal arora</cp:lastModifiedBy>
  <cp:revision>0</cp:revision>
  <dcterms:created xsi:type="dcterms:W3CDTF">2026-07-01T09:15:25Z</dcterms:created>
  <dcterms:modified xsi:type="dcterms:W3CDTF">2026-09-10T20:54:04Z</dcterms:modified>
  <dc:language>en-US</dc:language>
</cp:coreProperties>
</file>